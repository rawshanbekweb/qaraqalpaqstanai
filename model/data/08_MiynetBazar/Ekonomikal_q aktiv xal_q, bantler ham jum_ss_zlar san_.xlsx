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4400" yWindow="-15" windowWidth="14445" windowHeight="12795" tabRatio="751"/>
  </bookViews>
  <sheets>
    <sheet name="1735" sheetId="24" r:id="rId1"/>
  </sheets>
  <definedNames>
    <definedName name="_xlnm.Print_Titles" localSheetId="0">'1735'!$A:$A</definedName>
  </definedNames>
  <calcPr calcId="144525"/>
</workbook>
</file>

<file path=xl/calcChain.xml><?xml version="1.0" encoding="utf-8"?>
<calcChain xmlns="http://schemas.openxmlformats.org/spreadsheetml/2006/main">
  <c r="Z24" i="24" l="1"/>
  <c r="Z23" i="24"/>
  <c r="Z22" i="24"/>
  <c r="Z21" i="24"/>
  <c r="Z20" i="24"/>
  <c r="Z19" i="24"/>
  <c r="Z18" i="24"/>
  <c r="Z17" i="24"/>
  <c r="Z16" i="24"/>
  <c r="Z15" i="24"/>
  <c r="Z14" i="24"/>
  <c r="Z13" i="24"/>
  <c r="Z12" i="24"/>
  <c r="Z10" i="24"/>
  <c r="Z9" i="24"/>
  <c r="Z7" i="24"/>
  <c r="AF6" i="24"/>
  <c r="AE6" i="24"/>
  <c r="AD6" i="24"/>
  <c r="AB6" i="24"/>
  <c r="AA6" i="24"/>
  <c r="Z6" i="24"/>
  <c r="X6" i="24"/>
  <c r="Y6" i="24" s="1"/>
  <c r="W6" i="24"/>
  <c r="V6" i="24"/>
</calcChain>
</file>

<file path=xl/sharedStrings.xml><?xml version="1.0" encoding="utf-8"?>
<sst xmlns="http://schemas.openxmlformats.org/spreadsheetml/2006/main" count="74" uniqueCount="34">
  <si>
    <t xml:space="preserve">Iqtisodiy faol aholi soni jami, ming kishi </t>
  </si>
  <si>
    <t>ulardan:</t>
  </si>
  <si>
    <t>Ishsizlik darajasi, foizda</t>
  </si>
  <si>
    <t xml:space="preserve">iqtisodiyotda bandlar </t>
  </si>
  <si>
    <t>ishsizlar</t>
  </si>
  <si>
    <t>tumanlar:</t>
  </si>
  <si>
    <t>Qoraqalpog‘iston Respublikasi hududlari bo‘yicha iqtisodiy faol aholi, bandlar va ishsizlar soni</t>
  </si>
  <si>
    <t>Qoraqalpog'iston Respublikasi</t>
  </si>
  <si>
    <t>Nukus sh.</t>
  </si>
  <si>
    <t>Taxiatosh</t>
  </si>
  <si>
    <t>Amudaryo</t>
  </si>
  <si>
    <t>Beruniy</t>
  </si>
  <si>
    <t>Bo'zatov</t>
  </si>
  <si>
    <t>Qanliko'l</t>
  </si>
  <si>
    <t>Qorao'zak</t>
  </si>
  <si>
    <t>Kegeyli</t>
  </si>
  <si>
    <t>Qo'ng'irot</t>
  </si>
  <si>
    <t>Mo'ynoq</t>
  </si>
  <si>
    <t>Nukus</t>
  </si>
  <si>
    <t>Taxtako'pir</t>
  </si>
  <si>
    <t>To'rtko'l</t>
  </si>
  <si>
    <t>Xo'jayli</t>
  </si>
  <si>
    <t>Chimboy</t>
  </si>
  <si>
    <t>Shumanay</t>
  </si>
  <si>
    <t>Ellikqal'a</t>
  </si>
  <si>
    <t>2024 й.</t>
  </si>
  <si>
    <t xml:space="preserve">2023 й. </t>
  </si>
  <si>
    <t xml:space="preserve">2022 й. </t>
  </si>
  <si>
    <t xml:space="preserve">2021 й. </t>
  </si>
  <si>
    <t xml:space="preserve">2020 й. </t>
  </si>
  <si>
    <t xml:space="preserve">2019 й. </t>
  </si>
  <si>
    <t xml:space="preserve">2018 й. </t>
  </si>
  <si>
    <t xml:space="preserve">2017 й. </t>
  </si>
  <si>
    <t>2025 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</si>
</sst>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₽_-;\-* #,##0.00\ _₽_-;_-* &quot;-&quot;??\ _₽_-;_-@_-"/>
    <numFmt numFmtId="164" formatCode="_-* #,##0_р_._-;\-* #,##0_р_._-;_-* &quot;-&quot;_р_._-;_-@_-"/>
    <numFmt numFmtId="165" formatCode="0.0"/>
    <numFmt numFmtId="166" formatCode="_-* #,##0.00_-;\-* #,##0.00_-;_-* &quot;-&quot;??_-;_-@_-"/>
    <numFmt numFmtId="167" formatCode="#,##0.0"/>
    <numFmt numFmtId="168" formatCode="#"/>
    <numFmt numFmtId="169" formatCode="&quot;$&quot;#,##0\ ;\(&quot;$&quot;#,##0\)"/>
    <numFmt numFmtId="170" formatCode="_([$€-2]* #,##0.00_);_([$€-2]* \(#,##0.00\);_([$€-2]* &quot;-&quot;??_)"/>
    <numFmt numFmtId="171" formatCode="&quot;€&quot;#,##0;[Red]\-&quot;€&quot;#,##0"/>
    <numFmt numFmtId="172" formatCode="#,##0.000"/>
    <numFmt numFmtId="173" formatCode="#,##0.0\ _₽"/>
  </numFmts>
  <fonts count="5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"/>
      <color rgb="FF800000"/>
      <name val="Courier New"/>
      <family val="1"/>
      <charset val="204"/>
    </font>
    <font>
      <b/>
      <sz val="1"/>
      <color rgb="FF800000"/>
      <name val="Courier New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rgb="FF000000"/>
      <name val="Courier New"/>
      <family val="1"/>
      <charset val="204"/>
    </font>
    <font>
      <sz val="10"/>
      <color indexed="0"/>
      <name val="Courier"/>
      <family val="1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sz val="12"/>
      <color rgb="FF000000"/>
      <name val="Courier New"/>
      <family val="1"/>
      <charset val="204"/>
    </font>
    <font>
      <sz val="12"/>
      <name val="Tms Rmn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name val="Times New Roman Cyr"/>
      <charset val="204"/>
    </font>
    <font>
      <sz val="11"/>
      <name val="Times New Roman Cyr"/>
      <family val="1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0"/>
      <name val="Courier"/>
      <family val="1"/>
      <charset val="204"/>
    </font>
    <font>
      <sz val="10"/>
      <name val="Arial Narrow"/>
      <family val="2"/>
    </font>
    <font>
      <sz val="10"/>
      <color indexed="8"/>
      <name val="Arial"/>
      <family val="2"/>
      <charset val="204"/>
    </font>
    <font>
      <b/>
      <sz val="18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27">
    <xf numFmtId="0" fontId="0" fillId="0" borderId="0"/>
    <xf numFmtId="0" fontId="1" fillId="0" borderId="0"/>
    <xf numFmtId="0" fontId="5" fillId="0" borderId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0" fillId="0" borderId="0"/>
    <xf numFmtId="0" fontId="3" fillId="0" borderId="0"/>
    <xf numFmtId="0" fontId="3" fillId="0" borderId="0"/>
    <xf numFmtId="0" fontId="11" fillId="0" borderId="0"/>
    <xf numFmtId="168" fontId="12" fillId="0" borderId="0">
      <protection locked="0"/>
    </xf>
    <xf numFmtId="168" fontId="12" fillId="0" borderId="0">
      <protection locked="0"/>
    </xf>
    <xf numFmtId="168" fontId="12" fillId="0" borderId="0">
      <protection locked="0"/>
    </xf>
    <xf numFmtId="168" fontId="13" fillId="0" borderId="0">
      <protection locked="0"/>
    </xf>
    <xf numFmtId="168" fontId="13" fillId="0" borderId="0">
      <protection locked="0"/>
    </xf>
    <xf numFmtId="168" fontId="12" fillId="0" borderId="1">
      <protection locked="0"/>
    </xf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168" fontId="16" fillId="0" borderId="0">
      <protection locked="0"/>
    </xf>
    <xf numFmtId="168" fontId="16" fillId="0" borderId="0">
      <protection locked="0"/>
    </xf>
    <xf numFmtId="168" fontId="17" fillId="0" borderId="0">
      <protection locked="0"/>
    </xf>
    <xf numFmtId="4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0" fontId="4" fillId="0" borderId="0" applyNumberFormat="0" applyFont="0" applyFill="0" applyBorder="0" applyAlignment="0"/>
    <xf numFmtId="169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2" fillId="0" borderId="0" applyFont="0" applyFill="0" applyBorder="0" applyAlignment="0" applyProtection="0"/>
    <xf numFmtId="2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8" fontId="16" fillId="0" borderId="0">
      <protection locked="0"/>
    </xf>
    <xf numFmtId="168" fontId="20" fillId="0" borderId="0">
      <protection locked="0"/>
    </xf>
    <xf numFmtId="167" fontId="21" fillId="0" borderId="0" applyFill="0" applyBorder="0"/>
    <xf numFmtId="0" fontId="21" fillId="0" borderId="0"/>
    <xf numFmtId="0" fontId="11" fillId="0" borderId="0"/>
    <xf numFmtId="168" fontId="16" fillId="0" borderId="0">
      <protection locked="0"/>
    </xf>
    <xf numFmtId="168" fontId="16" fillId="0" borderId="0">
      <protection locked="0"/>
    </xf>
    <xf numFmtId="168" fontId="17" fillId="0" borderId="0">
      <protection locked="0"/>
    </xf>
    <xf numFmtId="10" fontId="11" fillId="0" borderId="0" applyFont="0" applyFill="0" applyBorder="0" applyAlignment="0" applyProtection="0"/>
    <xf numFmtId="0" fontId="11" fillId="0" borderId="2" applyNumberFormat="0" applyFont="0" applyFill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2" fillId="7" borderId="3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3" fillId="20" borderId="4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4" fillId="20" borderId="3" applyNumberFormat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8" fillId="0" borderId="8" applyNumberFormat="0" applyFill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29" fillId="21" borderId="9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1" fillId="22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1" fillId="0" borderId="0"/>
    <xf numFmtId="0" fontId="32" fillId="0" borderId="0"/>
    <xf numFmtId="0" fontId="32" fillId="0" borderId="0"/>
    <xf numFmtId="0" fontId="32" fillId="0" borderId="0"/>
    <xf numFmtId="0" fontId="11" fillId="0" borderId="0"/>
    <xf numFmtId="171" fontId="1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3" fillId="0" borderId="0"/>
    <xf numFmtId="0" fontId="10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1" fillId="23" borderId="10" applyNumberFormat="0" applyFont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168" fontId="12" fillId="0" borderId="0">
      <protection locked="0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168" fontId="44" fillId="0" borderId="0">
      <protection locked="0"/>
    </xf>
    <xf numFmtId="168" fontId="44" fillId="0" borderId="0">
      <protection locked="0"/>
    </xf>
    <xf numFmtId="168" fontId="44" fillId="0" borderId="0">
      <protection locked="0"/>
    </xf>
    <xf numFmtId="168" fontId="45" fillId="0" borderId="0">
      <protection locked="0"/>
    </xf>
    <xf numFmtId="168" fontId="45" fillId="0" borderId="0">
      <protection locked="0"/>
    </xf>
    <xf numFmtId="168" fontId="44" fillId="0" borderId="1">
      <protection locked="0"/>
    </xf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14" fillId="8" borderId="0" applyNumberFormat="0" applyBorder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28" fillId="0" borderId="15" applyNumberFormat="0" applyFill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24" fillId="20" borderId="13" applyNumberFormat="0" applyAlignment="0" applyProtection="0"/>
    <xf numFmtId="0" fontId="14" fillId="11" borderId="0" applyNumberFormat="0" applyBorder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24" fillId="20" borderId="13" applyNumberFormat="0" applyAlignment="0" applyProtection="0"/>
    <xf numFmtId="0" fontId="15" fillId="12" borderId="0" applyNumberFormat="0" applyBorder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23" fillId="20" borderId="14" applyNumberFormat="0" applyAlignment="0" applyProtection="0"/>
    <xf numFmtId="0" fontId="15" fillId="9" borderId="0" applyNumberFormat="0" applyBorder="0" applyAlignment="0" applyProtection="0"/>
    <xf numFmtId="0" fontId="23" fillId="20" borderId="14" applyNumberFormat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15" fillId="10" borderId="0" applyNumberFormat="0" applyBorder="0" applyAlignment="0" applyProtection="0"/>
    <xf numFmtId="0" fontId="22" fillId="7" borderId="13" applyNumberFormat="0" applyAlignment="0" applyProtection="0"/>
    <xf numFmtId="0" fontId="22" fillId="7" borderId="13" applyNumberFormat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46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168" fontId="17" fillId="0" borderId="0">
      <protection locked="0"/>
    </xf>
    <xf numFmtId="0" fontId="15" fillId="18" borderId="0" applyNumberFormat="0" applyBorder="0" applyAlignment="0" applyProtection="0"/>
    <xf numFmtId="0" fontId="15" fillId="13" borderId="0" applyNumberFormat="0" applyBorder="0" applyAlignment="0" applyProtection="0"/>
    <xf numFmtId="168" fontId="17" fillId="0" borderId="0">
      <protection locked="0"/>
    </xf>
    <xf numFmtId="0" fontId="15" fillId="14" borderId="0" applyNumberFormat="0" applyBorder="0" applyAlignment="0" applyProtection="0"/>
    <xf numFmtId="0" fontId="15" fillId="19" borderId="0" applyNumberFormat="0" applyBorder="0" applyAlignment="0" applyProtection="0"/>
    <xf numFmtId="0" fontId="22" fillId="7" borderId="3" applyNumberFormat="0" applyAlignment="0" applyProtection="0"/>
    <xf numFmtId="0" fontId="23" fillId="20" borderId="4" applyNumberFormat="0" applyAlignment="0" applyProtection="0"/>
    <xf numFmtId="168" fontId="17" fillId="0" borderId="0">
      <protection locked="0"/>
    </xf>
    <xf numFmtId="168" fontId="17" fillId="0" borderId="0">
      <protection locked="0"/>
    </xf>
    <xf numFmtId="168" fontId="17" fillId="0" borderId="0">
      <protection locked="0"/>
    </xf>
    <xf numFmtId="0" fontId="24" fillId="20" borderId="3" applyNumberFormat="0" applyAlignment="0" applyProtection="0"/>
    <xf numFmtId="0" fontId="25" fillId="0" borderId="5" applyNumberFormat="0" applyFill="0" applyAlignment="0" applyProtection="0"/>
    <xf numFmtId="168" fontId="17" fillId="0" borderId="0">
      <protection locked="0"/>
    </xf>
    <xf numFmtId="168" fontId="17" fillId="0" borderId="0">
      <protection locked="0"/>
    </xf>
    <xf numFmtId="0" fontId="26" fillId="0" borderId="6" applyNumberFormat="0" applyFill="0" applyAlignment="0" applyProtection="0"/>
    <xf numFmtId="168" fontId="17" fillId="0" borderId="0">
      <protection locked="0"/>
    </xf>
    <xf numFmtId="0" fontId="27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8" applyNumberFormat="0" applyFill="0" applyAlignment="0" applyProtection="0"/>
    <xf numFmtId="0" fontId="29" fillId="21" borderId="9" applyNumberFormat="0" applyAlignment="0" applyProtection="0"/>
    <xf numFmtId="0" fontId="30" fillId="0" borderId="0" applyNumberFormat="0" applyFill="0" applyBorder="0" applyAlignment="0" applyProtection="0"/>
    <xf numFmtId="0" fontId="31" fillId="22" borderId="0" applyNumberFormat="0" applyBorder="0" applyAlignment="0" applyProtection="0"/>
    <xf numFmtId="0" fontId="32" fillId="0" borderId="0"/>
    <xf numFmtId="0" fontId="32" fillId="0" borderId="0"/>
    <xf numFmtId="0" fontId="47" fillId="0" borderId="0">
      <alignment vertical="center"/>
    </xf>
    <xf numFmtId="0" fontId="33" fillId="0" borderId="0"/>
    <xf numFmtId="172" fontId="47" fillId="0" borderId="0">
      <alignment vertical="center"/>
    </xf>
    <xf numFmtId="0" fontId="33" fillId="0" borderId="0"/>
    <xf numFmtId="167" fontId="47" fillId="0" borderId="0">
      <alignment vertical="center"/>
    </xf>
    <xf numFmtId="0" fontId="14" fillId="0" borderId="0"/>
    <xf numFmtId="0" fontId="34" fillId="3" borderId="0" applyNumberFormat="0" applyBorder="0" applyAlignment="0" applyProtection="0"/>
    <xf numFmtId="0" fontId="35" fillId="0" borderId="0" applyNumberFormat="0" applyFill="0" applyBorder="0" applyAlignment="0" applyProtection="0"/>
    <xf numFmtId="0" fontId="1" fillId="23" borderId="10" applyNumberFormat="0" applyFont="0" applyAlignment="0" applyProtection="0"/>
    <xf numFmtId="0" fontId="36" fillId="0" borderId="11" applyNumberFormat="0" applyFill="0" applyAlignment="0" applyProtection="0"/>
    <xf numFmtId="0" fontId="37" fillId="0" borderId="0" applyNumberFormat="0" applyFill="0" applyBorder="0" applyAlignment="0" applyProtection="0"/>
    <xf numFmtId="168" fontId="44" fillId="0" borderId="12">
      <protection locked="0"/>
    </xf>
    <xf numFmtId="0" fontId="38" fillId="4" borderId="0" applyNumberFormat="0" applyBorder="0" applyAlignment="0" applyProtection="0"/>
    <xf numFmtId="168" fontId="44" fillId="0" borderId="0">
      <protection locked="0"/>
    </xf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1" fillId="23" borderId="16" applyNumberFormat="0" applyFont="0" applyAlignment="0" applyProtection="0"/>
    <xf numFmtId="0" fontId="48" fillId="0" borderId="0"/>
  </cellStyleXfs>
  <cellXfs count="22">
    <xf numFmtId="0" fontId="0" fillId="0" borderId="0" xfId="0"/>
    <xf numFmtId="0" fontId="6" fillId="0" borderId="0" xfId="0" applyFont="1" applyFill="1"/>
    <xf numFmtId="173" fontId="42" fillId="0" borderId="17" xfId="401" applyNumberFormat="1" applyFont="1" applyBorder="1" applyAlignment="1">
      <alignment horizontal="center" vertical="center" wrapText="1"/>
    </xf>
    <xf numFmtId="173" fontId="42" fillId="0" borderId="17" xfId="402" applyNumberFormat="1" applyFont="1" applyBorder="1" applyAlignment="1">
      <alignment horizontal="center" vertical="center" wrapText="1"/>
    </xf>
    <xf numFmtId="167" fontId="4" fillId="24" borderId="17" xfId="526" applyNumberFormat="1" applyFont="1" applyFill="1" applyBorder="1" applyAlignment="1">
      <alignment horizontal="center" vertical="center" wrapText="1"/>
    </xf>
    <xf numFmtId="165" fontId="41" fillId="0" borderId="17" xfId="0" applyNumberFormat="1" applyFont="1" applyFill="1" applyBorder="1" applyAlignment="1">
      <alignment horizontal="center" vertical="center" wrapText="1"/>
    </xf>
    <xf numFmtId="165" fontId="40" fillId="0" borderId="17" xfId="0" applyNumberFormat="1" applyFont="1" applyFill="1" applyBorder="1" applyAlignment="1">
      <alignment horizontal="center" vertical="center" wrapText="1"/>
    </xf>
    <xf numFmtId="0" fontId="40" fillId="0" borderId="17" xfId="0" applyFont="1" applyFill="1" applyBorder="1" applyAlignment="1">
      <alignment horizontal="center" vertical="center" wrapText="1"/>
    </xf>
    <xf numFmtId="0" fontId="41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0" fontId="39" fillId="0" borderId="18" xfId="0" applyFont="1" applyFill="1" applyBorder="1" applyAlignment="1">
      <alignment vertical="center" wrapText="1"/>
    </xf>
    <xf numFmtId="0" fontId="43" fillId="0" borderId="17" xfId="0" applyFont="1" applyFill="1" applyBorder="1" applyAlignment="1">
      <alignment horizontal="left" vertical="center" indent="1"/>
    </xf>
    <xf numFmtId="173" fontId="9" fillId="0" borderId="17" xfId="401" applyNumberFormat="1" applyFont="1" applyBorder="1" applyAlignment="1">
      <alignment horizontal="center" vertical="center" wrapText="1"/>
    </xf>
    <xf numFmtId="173" fontId="9" fillId="0" borderId="17" xfId="0" applyNumberFormat="1" applyFont="1" applyBorder="1" applyAlignment="1">
      <alignment horizontal="center" vertical="center" wrapText="1"/>
    </xf>
    <xf numFmtId="173" fontId="9" fillId="0" borderId="17" xfId="402" applyNumberFormat="1" applyFont="1" applyBorder="1" applyAlignment="1">
      <alignment horizontal="center" vertical="center" wrapText="1"/>
    </xf>
    <xf numFmtId="0" fontId="43" fillId="0" borderId="17" xfId="403" applyFont="1" applyFill="1" applyBorder="1" applyAlignment="1">
      <alignment horizontal="left" vertical="center" indent="3"/>
    </xf>
    <xf numFmtId="0" fontId="6" fillId="0" borderId="17" xfId="0" applyFont="1" applyFill="1" applyBorder="1"/>
    <xf numFmtId="0" fontId="40" fillId="0" borderId="17" xfId="0" applyFont="1" applyFill="1" applyBorder="1" applyAlignment="1">
      <alignment horizontal="center" vertical="center" wrapText="1"/>
    </xf>
    <xf numFmtId="0" fontId="49" fillId="0" borderId="0" xfId="0" applyFont="1" applyFill="1" applyBorder="1" applyAlignment="1">
      <alignment vertical="center" wrapText="1"/>
    </xf>
    <xf numFmtId="0" fontId="49" fillId="0" borderId="0" xfId="0" applyFont="1" applyFill="1" applyBorder="1" applyAlignment="1">
      <alignment horizontal="center" vertical="center" wrapText="1"/>
    </xf>
    <xf numFmtId="0" fontId="40" fillId="0" borderId="17" xfId="0" applyFont="1" applyFill="1" applyBorder="1" applyAlignment="1">
      <alignment horizontal="center" vertical="center" wrapText="1"/>
    </xf>
    <xf numFmtId="0" fontId="42" fillId="0" borderId="17" xfId="0" applyFont="1" applyFill="1" applyBorder="1" applyAlignment="1">
      <alignment horizontal="center" vertical="center" wrapText="1"/>
    </xf>
  </cellXfs>
  <cellStyles count="527">
    <cellStyle name="”ќђќ‘ћ‚›‰" xfId="13"/>
    <cellStyle name="”ќђќ‘ћ‚›‰ 2" xfId="404"/>
    <cellStyle name="”љ‘ђћ‚ђќќ›‰" xfId="14"/>
    <cellStyle name="”љ‘ђћ‚ђќќ›‰ 2" xfId="405"/>
    <cellStyle name="„…ќ…†ќ›‰" xfId="15"/>
    <cellStyle name="„…ќ…†ќ›‰ 2" xfId="406"/>
    <cellStyle name="‡ђѓћ‹ћ‚ћљ1" xfId="16"/>
    <cellStyle name="‡ђѓћ‹ћ‚ћљ1 2" xfId="407"/>
    <cellStyle name="‡ђѓћ‹ћ‚ћљ2" xfId="17"/>
    <cellStyle name="‡ђѓћ‹ћ‚ћљ2 2" xfId="408"/>
    <cellStyle name="’ћѓћ‚›‰" xfId="18"/>
    <cellStyle name="’ћѓћ‚›‰ 2" xfId="409"/>
    <cellStyle name="’ћѓћ‚›‰ 3" xfId="514"/>
    <cellStyle name="20% - Акцент1 2" xfId="19"/>
    <cellStyle name="20% - Акцент1 2 2" xfId="20"/>
    <cellStyle name="20% - Акцент1 2 3" xfId="21"/>
    <cellStyle name="20% - Акцент1 3" xfId="22"/>
    <cellStyle name="20% - Акцент1 3 2" xfId="23"/>
    <cellStyle name="20% - Акцент1 3 3" xfId="24"/>
    <cellStyle name="20% - Акцент1 4" xfId="25"/>
    <cellStyle name="20% - Акцент1 5" xfId="26"/>
    <cellStyle name="20% - Акцент1 6" xfId="410"/>
    <cellStyle name="20% - Акцент2 2" xfId="27"/>
    <cellStyle name="20% - Акцент2 2 2" xfId="28"/>
    <cellStyle name="20% - Акцент2 2 3" xfId="29"/>
    <cellStyle name="20% - Акцент2 3" xfId="30"/>
    <cellStyle name="20% - Акцент2 3 2" xfId="31"/>
    <cellStyle name="20% - Акцент2 3 3" xfId="32"/>
    <cellStyle name="20% - Акцент2 4" xfId="33"/>
    <cellStyle name="20% - Акцент2 5" xfId="34"/>
    <cellStyle name="20% - Акцент2 6" xfId="411"/>
    <cellStyle name="20% - Акцент3 2" xfId="35"/>
    <cellStyle name="20% - Акцент3 2 2" xfId="36"/>
    <cellStyle name="20% - Акцент3 2 3" xfId="37"/>
    <cellStyle name="20% - Акцент3 3" xfId="38"/>
    <cellStyle name="20% - Акцент3 3 2" xfId="39"/>
    <cellStyle name="20% - Акцент3 3 3" xfId="40"/>
    <cellStyle name="20% - Акцент3 4" xfId="41"/>
    <cellStyle name="20% - Акцент3 5" xfId="42"/>
    <cellStyle name="20% - Акцент3 6" xfId="412"/>
    <cellStyle name="20% - Акцент4 2" xfId="43"/>
    <cellStyle name="20% - Акцент4 2 2" xfId="44"/>
    <cellStyle name="20% - Акцент4 2 3" xfId="45"/>
    <cellStyle name="20% - Акцент4 3" xfId="46"/>
    <cellStyle name="20% - Акцент4 3 2" xfId="47"/>
    <cellStyle name="20% - Акцент4 3 3" xfId="48"/>
    <cellStyle name="20% - Акцент4 4" xfId="49"/>
    <cellStyle name="20% - Акцент4 5" xfId="50"/>
    <cellStyle name="20% - Акцент4 6" xfId="413"/>
    <cellStyle name="20% - Акцент5 2" xfId="51"/>
    <cellStyle name="20% - Акцент5 2 2" xfId="52"/>
    <cellStyle name="20% - Акцент5 2 3" xfId="53"/>
    <cellStyle name="20% - Акцент5 3" xfId="54"/>
    <cellStyle name="20% - Акцент5 3 2" xfId="55"/>
    <cellStyle name="20% - Акцент5 3 3" xfId="56"/>
    <cellStyle name="20% - Акцент5 4" xfId="57"/>
    <cellStyle name="20% - Акцент5 5" xfId="58"/>
    <cellStyle name="20% - Акцент5 6" xfId="414"/>
    <cellStyle name="20% - Акцент6 2" xfId="59"/>
    <cellStyle name="20% - Акцент6 2 2" xfId="60"/>
    <cellStyle name="20% - Акцент6 2 3" xfId="61"/>
    <cellStyle name="20% - Акцент6 3" xfId="62"/>
    <cellStyle name="20% - Акцент6 3 2" xfId="63"/>
    <cellStyle name="20% - Акцент6 3 3" xfId="64"/>
    <cellStyle name="20% - Акцент6 4" xfId="65"/>
    <cellStyle name="20% - Акцент6 5" xfId="66"/>
    <cellStyle name="20% - Акцент6 6" xfId="415"/>
    <cellStyle name="40% - Акцент1 2" xfId="67"/>
    <cellStyle name="40% - Акцент1 2 2" xfId="68"/>
    <cellStyle name="40% - Акцент1 2 3" xfId="69"/>
    <cellStyle name="40% - Акцент1 3" xfId="70"/>
    <cellStyle name="40% - Акцент1 3 2" xfId="71"/>
    <cellStyle name="40% - Акцент1 3 3" xfId="72"/>
    <cellStyle name="40% - Акцент1 4" xfId="73"/>
    <cellStyle name="40% - Акцент1 5" xfId="74"/>
    <cellStyle name="40% - Акцент1 6" xfId="422"/>
    <cellStyle name="40% - Акцент2 2" xfId="75"/>
    <cellStyle name="40% - Акцент2 2 2" xfId="76"/>
    <cellStyle name="40% - Акцент2 2 3" xfId="77"/>
    <cellStyle name="40% - Акцент2 3" xfId="78"/>
    <cellStyle name="40% - Акцент2 3 2" xfId="79"/>
    <cellStyle name="40% - Акцент2 3 3" xfId="80"/>
    <cellStyle name="40% - Акцент2 4" xfId="81"/>
    <cellStyle name="40% - Акцент2 5" xfId="82"/>
    <cellStyle name="40% - Акцент2 6" xfId="426"/>
    <cellStyle name="40% - Акцент3 2" xfId="83"/>
    <cellStyle name="40% - Акцент3 2 2" xfId="84"/>
    <cellStyle name="40% - Акцент3 2 3" xfId="85"/>
    <cellStyle name="40% - Акцент3 3" xfId="86"/>
    <cellStyle name="40% - Акцент3 3 2" xfId="87"/>
    <cellStyle name="40% - Акцент3 3 3" xfId="88"/>
    <cellStyle name="40% - Акцент3 4" xfId="89"/>
    <cellStyle name="40% - Акцент3 5" xfId="90"/>
    <cellStyle name="40% - Акцент3 6" xfId="427"/>
    <cellStyle name="40% - Акцент4 2" xfId="91"/>
    <cellStyle name="40% - Акцент4 2 2" xfId="92"/>
    <cellStyle name="40% - Акцент4 2 3" xfId="93"/>
    <cellStyle name="40% - Акцент4 3" xfId="94"/>
    <cellStyle name="40% - Акцент4 3 2" xfId="95"/>
    <cellStyle name="40% - Акцент4 3 3" xfId="96"/>
    <cellStyle name="40% - Акцент4 4" xfId="97"/>
    <cellStyle name="40% - Акцент4 5" xfId="98"/>
    <cellStyle name="40% - Акцент4 6" xfId="428"/>
    <cellStyle name="40% - Акцент5 2" xfId="99"/>
    <cellStyle name="40% - Акцент5 2 2" xfId="100"/>
    <cellStyle name="40% - Акцент5 2 3" xfId="101"/>
    <cellStyle name="40% - Акцент5 3" xfId="102"/>
    <cellStyle name="40% - Акцент5 3 2" xfId="103"/>
    <cellStyle name="40% - Акцент5 3 3" xfId="104"/>
    <cellStyle name="40% - Акцент5 4" xfId="105"/>
    <cellStyle name="40% - Акцент5 5" xfId="106"/>
    <cellStyle name="40% - Акцент5 6" xfId="429"/>
    <cellStyle name="40% - Акцент6 2" xfId="107"/>
    <cellStyle name="40% - Акцент6 2 2" xfId="108"/>
    <cellStyle name="40% - Акцент6 2 3" xfId="109"/>
    <cellStyle name="40% - Акцент6 3" xfId="110"/>
    <cellStyle name="40% - Акцент6 3 2" xfId="111"/>
    <cellStyle name="40% - Акцент6 3 3" xfId="112"/>
    <cellStyle name="40% - Акцент6 4" xfId="113"/>
    <cellStyle name="40% - Акцент6 5" xfId="114"/>
    <cellStyle name="40% - Акцент6 6" xfId="431"/>
    <cellStyle name="60% - Акцент1 2" xfId="115"/>
    <cellStyle name="60% - Акцент1 2 2" xfId="116"/>
    <cellStyle name="60% - Акцент1 2 3" xfId="117"/>
    <cellStyle name="60% - Акцент1 3" xfId="118"/>
    <cellStyle name="60% - Акцент1 3 2" xfId="119"/>
    <cellStyle name="60% - Акцент1 3 3" xfId="120"/>
    <cellStyle name="60% - Акцент1 4" xfId="121"/>
    <cellStyle name="60% - Акцент1 5" xfId="122"/>
    <cellStyle name="60% - Акцент1 6" xfId="440"/>
    <cellStyle name="60% - Акцент2 2" xfId="123"/>
    <cellStyle name="60% - Акцент2 2 2" xfId="124"/>
    <cellStyle name="60% - Акцент2 2 3" xfId="125"/>
    <cellStyle name="60% - Акцент2 3" xfId="126"/>
    <cellStyle name="60% - Акцент2 3 2" xfId="127"/>
    <cellStyle name="60% - Акцент2 3 3" xfId="128"/>
    <cellStyle name="60% - Акцент2 4" xfId="129"/>
    <cellStyle name="60% - Акцент2 5" xfId="130"/>
    <cellStyle name="60% - Акцент2 6" xfId="449"/>
    <cellStyle name="60% - Акцент3 2" xfId="131"/>
    <cellStyle name="60% - Акцент3 2 2" xfId="132"/>
    <cellStyle name="60% - Акцент3 2 3" xfId="133"/>
    <cellStyle name="60% - Акцент3 3" xfId="134"/>
    <cellStyle name="60% - Акцент3 3 2" xfId="135"/>
    <cellStyle name="60% - Акцент3 3 3" xfId="136"/>
    <cellStyle name="60% - Акцент3 4" xfId="137"/>
    <cellStyle name="60% - Акцент3 5" xfId="138"/>
    <cellStyle name="60% - Акцент3 6" xfId="458"/>
    <cellStyle name="60% - Акцент4 2" xfId="139"/>
    <cellStyle name="60% - Акцент4 2 2" xfId="140"/>
    <cellStyle name="60% - Акцент4 2 3" xfId="141"/>
    <cellStyle name="60% - Акцент4 3" xfId="142"/>
    <cellStyle name="60% - Акцент4 3 2" xfId="143"/>
    <cellStyle name="60% - Акцент4 3 3" xfId="144"/>
    <cellStyle name="60% - Акцент4 4" xfId="145"/>
    <cellStyle name="60% - Акцент4 5" xfId="146"/>
    <cellStyle name="60% - Акцент4 6" xfId="461"/>
    <cellStyle name="60% - Акцент5 2" xfId="147"/>
    <cellStyle name="60% - Акцент5 2 2" xfId="148"/>
    <cellStyle name="60% - Акцент5 2 3" xfId="149"/>
    <cellStyle name="60% - Акцент5 3" xfId="150"/>
    <cellStyle name="60% - Акцент5 3 2" xfId="151"/>
    <cellStyle name="60% - Акцент5 3 3" xfId="152"/>
    <cellStyle name="60% - Акцент5 4" xfId="153"/>
    <cellStyle name="60% - Акцент5 5" xfId="154"/>
    <cellStyle name="60% - Акцент5 6" xfId="462"/>
    <cellStyle name="60% - Акцент6 2" xfId="155"/>
    <cellStyle name="60% - Акцент6 2 2" xfId="156"/>
    <cellStyle name="60% - Акцент6 2 3" xfId="157"/>
    <cellStyle name="60% - Акцент6 3" xfId="158"/>
    <cellStyle name="60% - Акцент6 3 2" xfId="159"/>
    <cellStyle name="60% - Акцент6 3 3" xfId="160"/>
    <cellStyle name="60% - Акцент6 4" xfId="161"/>
    <cellStyle name="60% - Акцент6 5" xfId="162"/>
    <cellStyle name="60% - Акцент6 6" xfId="463"/>
    <cellStyle name="Aaia?iue" xfId="163"/>
    <cellStyle name="Aaia?iue [0]" xfId="164"/>
    <cellStyle name="Aaia?iue [0] 2" xfId="465"/>
    <cellStyle name="Aaia?iue 2" xfId="464"/>
    <cellStyle name="Aaia?iue 3" xfId="481"/>
    <cellStyle name="Aaia?iue 4" xfId="468"/>
    <cellStyle name="Aaia?iue 5" xfId="491"/>
    <cellStyle name="Aaia?iue 6" xfId="467"/>
    <cellStyle name="Aaia?iue 7" xfId="492"/>
    <cellStyle name="Aaia?iue 8" xfId="466"/>
    <cellStyle name="Aaia?iue 9" xfId="494"/>
    <cellStyle name="Aaia?iue_01.01.2012 1-тер" xfId="165"/>
    <cellStyle name="Comma_Monetary Survey for Uzbekistan" xfId="166"/>
    <cellStyle name="Comma0" xfId="167"/>
    <cellStyle name="common" xfId="168"/>
    <cellStyle name="Currency0" xfId="169"/>
    <cellStyle name="Date" xfId="170"/>
    <cellStyle name="Euro" xfId="171"/>
    <cellStyle name="Fixed" xfId="172"/>
    <cellStyle name="Heading 1" xfId="173"/>
    <cellStyle name="Heading 2" xfId="174"/>
    <cellStyle name="I?ioaioiue" xfId="175"/>
    <cellStyle name="I?ioaioiue 2" xfId="469"/>
    <cellStyle name="Iau?iue" xfId="176"/>
    <cellStyle name="Iau?iue 2" xfId="470"/>
    <cellStyle name="Millares 10" xfId="3"/>
    <cellStyle name="Millares 8" xfId="4"/>
    <cellStyle name="Millares 9" xfId="5"/>
    <cellStyle name="mystyle" xfId="177"/>
    <cellStyle name="Normal - Style1" xfId="178"/>
    <cellStyle name="Normal 2" xfId="6"/>
    <cellStyle name="Normal 3" xfId="7"/>
    <cellStyle name="Normal 4" xfId="8"/>
    <cellStyle name="Normal_budget execution - june 99" xfId="179"/>
    <cellStyle name="Oeiainiaue" xfId="180"/>
    <cellStyle name="Oeiainiaue [0]" xfId="181"/>
    <cellStyle name="Oeiainiaue [0] 2" xfId="472"/>
    <cellStyle name="Oeiainiaue 2" xfId="471"/>
    <cellStyle name="Oeiainiaue 3" xfId="478"/>
    <cellStyle name="Oeiainiaue 4" xfId="475"/>
    <cellStyle name="Oeiainiaue 5" xfId="486"/>
    <cellStyle name="Oeiainiaue 6" xfId="474"/>
    <cellStyle name="Oeiainiaue 7" xfId="487"/>
    <cellStyle name="Oeiainiaue 8" xfId="473"/>
    <cellStyle name="Oeiainiaue 9" xfId="488"/>
    <cellStyle name="Oeiainiaue_01.01.2012 1-тер" xfId="182"/>
    <cellStyle name="Percent_REDT23&amp;25" xfId="183"/>
    <cellStyle name="Total" xfId="184"/>
    <cellStyle name="Акцент1 2" xfId="185"/>
    <cellStyle name="Акцент1 2 2" xfId="186"/>
    <cellStyle name="Акцент1 2 3" xfId="187"/>
    <cellStyle name="Акцент1 3" xfId="188"/>
    <cellStyle name="Акцент1 3 2" xfId="189"/>
    <cellStyle name="Акцент1 3 3" xfId="190"/>
    <cellStyle name="Акцент1 4" xfId="191"/>
    <cellStyle name="Акцент1 5" xfId="192"/>
    <cellStyle name="Акцент1 6" xfId="476"/>
    <cellStyle name="Акцент2 2" xfId="193"/>
    <cellStyle name="Акцент2 2 2" xfId="194"/>
    <cellStyle name="Акцент2 2 3" xfId="195"/>
    <cellStyle name="Акцент2 3" xfId="196"/>
    <cellStyle name="Акцент2 3 2" xfId="197"/>
    <cellStyle name="Акцент2 3 3" xfId="198"/>
    <cellStyle name="Акцент2 4" xfId="199"/>
    <cellStyle name="Акцент2 5" xfId="200"/>
    <cellStyle name="Акцент2 6" xfId="477"/>
    <cellStyle name="Акцент3 2" xfId="201"/>
    <cellStyle name="Акцент3 2 2" xfId="202"/>
    <cellStyle name="Акцент3 2 3" xfId="203"/>
    <cellStyle name="Акцент3 3" xfId="204"/>
    <cellStyle name="Акцент3 3 2" xfId="205"/>
    <cellStyle name="Акцент3 3 3" xfId="206"/>
    <cellStyle name="Акцент3 4" xfId="207"/>
    <cellStyle name="Акцент3 5" xfId="208"/>
    <cellStyle name="Акцент3 6" xfId="479"/>
    <cellStyle name="Акцент4 2" xfId="209"/>
    <cellStyle name="Акцент4 2 2" xfId="210"/>
    <cellStyle name="Акцент4 2 3" xfId="211"/>
    <cellStyle name="Акцент4 3" xfId="212"/>
    <cellStyle name="Акцент4 3 2" xfId="213"/>
    <cellStyle name="Акцент4 3 3" xfId="214"/>
    <cellStyle name="Акцент4 4" xfId="215"/>
    <cellStyle name="Акцент4 5" xfId="216"/>
    <cellStyle name="Акцент4 6" xfId="480"/>
    <cellStyle name="Акцент5 2" xfId="217"/>
    <cellStyle name="Акцент5 2 2" xfId="218"/>
    <cellStyle name="Акцент5 2 3" xfId="219"/>
    <cellStyle name="Акцент5 3" xfId="220"/>
    <cellStyle name="Акцент5 3 2" xfId="221"/>
    <cellStyle name="Акцент5 3 3" xfId="222"/>
    <cellStyle name="Акцент5 4" xfId="223"/>
    <cellStyle name="Акцент5 5" xfId="224"/>
    <cellStyle name="Акцент5 6" xfId="482"/>
    <cellStyle name="Акцент6 2" xfId="225"/>
    <cellStyle name="Акцент6 2 2" xfId="226"/>
    <cellStyle name="Акцент6 2 3" xfId="227"/>
    <cellStyle name="Акцент6 3" xfId="228"/>
    <cellStyle name="Акцент6 3 2" xfId="229"/>
    <cellStyle name="Акцент6 3 3" xfId="230"/>
    <cellStyle name="Акцент6 4" xfId="231"/>
    <cellStyle name="Акцент6 5" xfId="232"/>
    <cellStyle name="Акцент6 6" xfId="483"/>
    <cellStyle name="Ввод  2" xfId="233"/>
    <cellStyle name="Ввод  2 2" xfId="234"/>
    <cellStyle name="Ввод  2 2 2" xfId="459"/>
    <cellStyle name="Ввод  2 3" xfId="235"/>
    <cellStyle name="Ввод  2 3 2" xfId="457"/>
    <cellStyle name="Ввод  2 4" xfId="460"/>
    <cellStyle name="Ввод  3" xfId="236"/>
    <cellStyle name="Ввод  3 2" xfId="237"/>
    <cellStyle name="Ввод  3 2 2" xfId="455"/>
    <cellStyle name="Ввод  3 3" xfId="238"/>
    <cellStyle name="Ввод  3 3 2" xfId="454"/>
    <cellStyle name="Ввод  3 4" xfId="456"/>
    <cellStyle name="Ввод  4" xfId="239"/>
    <cellStyle name="Ввод  4 2" xfId="453"/>
    <cellStyle name="Ввод  5" xfId="240"/>
    <cellStyle name="Ввод  5 2" xfId="452"/>
    <cellStyle name="Ввод  6" xfId="484"/>
    <cellStyle name="Ввод  6 2" xfId="451"/>
    <cellStyle name="Вывод 2" xfId="241"/>
    <cellStyle name="Вывод 2 2" xfId="242"/>
    <cellStyle name="Вывод 2 2 2" xfId="448"/>
    <cellStyle name="Вывод 2 3" xfId="243"/>
    <cellStyle name="Вывод 2 3 2" xfId="447"/>
    <cellStyle name="Вывод 2 4" xfId="450"/>
    <cellStyle name="Вывод 3" xfId="244"/>
    <cellStyle name="Вывод 3 2" xfId="245"/>
    <cellStyle name="Вывод 3 2 2" xfId="445"/>
    <cellStyle name="Вывод 3 3" xfId="246"/>
    <cellStyle name="Вывод 3 3 2" xfId="444"/>
    <cellStyle name="Вывод 3 4" xfId="446"/>
    <cellStyle name="Вывод 4" xfId="247"/>
    <cellStyle name="Вывод 4 2" xfId="443"/>
    <cellStyle name="Вывод 5" xfId="248"/>
    <cellStyle name="Вывод 5 2" xfId="442"/>
    <cellStyle name="Вывод 6" xfId="485"/>
    <cellStyle name="Вывод 6 2" xfId="441"/>
    <cellStyle name="Вычисление 2" xfId="249"/>
    <cellStyle name="Вычисление 2 2" xfId="250"/>
    <cellStyle name="Вычисление 2 2 2" xfId="438"/>
    <cellStyle name="Вычисление 2 3" xfId="251"/>
    <cellStyle name="Вычисление 2 3 2" xfId="437"/>
    <cellStyle name="Вычисление 2 4" xfId="439"/>
    <cellStyle name="Вычисление 3" xfId="252"/>
    <cellStyle name="Вычисление 3 2" xfId="253"/>
    <cellStyle name="Вычисление 3 2 2" xfId="435"/>
    <cellStyle name="Вычисление 3 3" xfId="254"/>
    <cellStyle name="Вычисление 3 3 2" xfId="434"/>
    <cellStyle name="Вычисление 3 4" xfId="436"/>
    <cellStyle name="Вычисление 4" xfId="255"/>
    <cellStyle name="Вычисление 4 2" xfId="433"/>
    <cellStyle name="Вычисление 5" xfId="256"/>
    <cellStyle name="Вычисление 5 2" xfId="432"/>
    <cellStyle name="Вычисление 6" xfId="489"/>
    <cellStyle name="Вычисление 6 2" xfId="430"/>
    <cellStyle name="Заголовок 1 2" xfId="257"/>
    <cellStyle name="Заголовок 1 2 2" xfId="258"/>
    <cellStyle name="Заголовок 1 2 3" xfId="259"/>
    <cellStyle name="Заголовок 1 3" xfId="260"/>
    <cellStyle name="Заголовок 1 3 2" xfId="261"/>
    <cellStyle name="Заголовок 1 3 3" xfId="262"/>
    <cellStyle name="Заголовок 1 4" xfId="263"/>
    <cellStyle name="Заголовок 1 5" xfId="264"/>
    <cellStyle name="Заголовок 1 6" xfId="490"/>
    <cellStyle name="Заголовок 2 2" xfId="265"/>
    <cellStyle name="Заголовок 2 2 2" xfId="266"/>
    <cellStyle name="Заголовок 2 2 3" xfId="267"/>
    <cellStyle name="Заголовок 2 3" xfId="268"/>
    <cellStyle name="Заголовок 2 3 2" xfId="269"/>
    <cellStyle name="Заголовок 2 3 3" xfId="270"/>
    <cellStyle name="Заголовок 2 4" xfId="271"/>
    <cellStyle name="Заголовок 2 5" xfId="272"/>
    <cellStyle name="Заголовок 2 6" xfId="493"/>
    <cellStyle name="Заголовок 3 2" xfId="273"/>
    <cellStyle name="Заголовок 3 2 2" xfId="274"/>
    <cellStyle name="Заголовок 3 2 3" xfId="275"/>
    <cellStyle name="Заголовок 3 3" xfId="276"/>
    <cellStyle name="Заголовок 3 3 2" xfId="277"/>
    <cellStyle name="Заголовок 3 3 3" xfId="278"/>
    <cellStyle name="Заголовок 3 4" xfId="279"/>
    <cellStyle name="Заголовок 3 5" xfId="280"/>
    <cellStyle name="Заголовок 3 6" xfId="495"/>
    <cellStyle name="Заголовок 4 2" xfId="281"/>
    <cellStyle name="Заголовок 4 2 2" xfId="282"/>
    <cellStyle name="Заголовок 4 2 3" xfId="283"/>
    <cellStyle name="Заголовок 4 3" xfId="284"/>
    <cellStyle name="Заголовок 4 3 2" xfId="285"/>
    <cellStyle name="Заголовок 4 3 3" xfId="286"/>
    <cellStyle name="Заголовок 4 4" xfId="287"/>
    <cellStyle name="Заголовок 4 5" xfId="288"/>
    <cellStyle name="Заголовок 4 6" xfId="496"/>
    <cellStyle name="Итог 2" xfId="289"/>
    <cellStyle name="Итог 2 2" xfId="290"/>
    <cellStyle name="Итог 2 2 2" xfId="424"/>
    <cellStyle name="Итог 2 3" xfId="291"/>
    <cellStyle name="Итог 2 3 2" xfId="423"/>
    <cellStyle name="Итог 2 4" xfId="425"/>
    <cellStyle name="Итог 3" xfId="292"/>
    <cellStyle name="Итог 3 2" xfId="293"/>
    <cellStyle name="Итог 3 2 2" xfId="420"/>
    <cellStyle name="Итог 3 3" xfId="294"/>
    <cellStyle name="Итог 3 3 2" xfId="419"/>
    <cellStyle name="Итог 3 4" xfId="421"/>
    <cellStyle name="Итог 4" xfId="295"/>
    <cellStyle name="Итог 4 2" xfId="418"/>
    <cellStyle name="Итог 5" xfId="296"/>
    <cellStyle name="Итог 5 2" xfId="417"/>
    <cellStyle name="Итог 6" xfId="497"/>
    <cellStyle name="Итог 6 2" xfId="416"/>
    <cellStyle name="Контрольная ячейка 2" xfId="297"/>
    <cellStyle name="Контрольная ячейка 2 2" xfId="298"/>
    <cellStyle name="Контрольная ячейка 2 3" xfId="299"/>
    <cellStyle name="Контрольная ячейка 3" xfId="300"/>
    <cellStyle name="Контрольная ячейка 3 2" xfId="301"/>
    <cellStyle name="Контрольная ячейка 3 3" xfId="302"/>
    <cellStyle name="Контрольная ячейка 4" xfId="303"/>
    <cellStyle name="Контрольная ячейка 5" xfId="304"/>
    <cellStyle name="Контрольная ячейка 6" xfId="498"/>
    <cellStyle name="Название 2" xfId="305"/>
    <cellStyle name="Название 2 2" xfId="306"/>
    <cellStyle name="Название 2 3" xfId="307"/>
    <cellStyle name="Название 3" xfId="308"/>
    <cellStyle name="Название 3 2" xfId="309"/>
    <cellStyle name="Название 3 3" xfId="310"/>
    <cellStyle name="Название 4" xfId="311"/>
    <cellStyle name="Название 5" xfId="312"/>
    <cellStyle name="Название 6" xfId="499"/>
    <cellStyle name="Нейтральный 2" xfId="313"/>
    <cellStyle name="Нейтральный 2 2" xfId="314"/>
    <cellStyle name="Нейтральный 2 3" xfId="315"/>
    <cellStyle name="Нейтральный 3" xfId="316"/>
    <cellStyle name="Нейтральный 3 2" xfId="317"/>
    <cellStyle name="Нейтральный 3 3" xfId="318"/>
    <cellStyle name="Нейтральный 4" xfId="319"/>
    <cellStyle name="Нейтральный 5" xfId="320"/>
    <cellStyle name="Нейтральный 6" xfId="500"/>
    <cellStyle name="Обычный" xfId="0" builtinId="0"/>
    <cellStyle name="Обычный 10" xfId="321"/>
    <cellStyle name="Обычный 11" xfId="322"/>
    <cellStyle name="Обычный 11 2" xfId="323"/>
    <cellStyle name="Обычный 11 3" xfId="324"/>
    <cellStyle name="Обычный 12" xfId="12"/>
    <cellStyle name="Обычный 15" xfId="325"/>
    <cellStyle name="Обычный 2" xfId="1"/>
    <cellStyle name="Обычный 2 2" xfId="10"/>
    <cellStyle name="Обычный 2 2 2" xfId="11"/>
    <cellStyle name="Обычный 2 2 3" xfId="501"/>
    <cellStyle name="Обычный 2 3" xfId="326"/>
    <cellStyle name="Обычный 2 4" xfId="327"/>
    <cellStyle name="Обычный 2 5" xfId="328"/>
    <cellStyle name="Обычный 2 6" xfId="329"/>
    <cellStyle name="Обычный 2 6 2" xfId="502"/>
    <cellStyle name="Обычный 2 7" xfId="330"/>
    <cellStyle name="Обычный 2 7 2" xfId="503"/>
    <cellStyle name="Обычный 26" xfId="331"/>
    <cellStyle name="Обычный 28" xfId="332"/>
    <cellStyle name="Обычный 3" xfId="2"/>
    <cellStyle name="Обычный 3 2" xfId="333"/>
    <cellStyle name="Обычный 3 3" xfId="334"/>
    <cellStyle name="Обычный 3 3 2" xfId="505"/>
    <cellStyle name="Обычный 3 4" xfId="504"/>
    <cellStyle name="Обычный 3 8" xfId="335"/>
    <cellStyle name="Обычный 4" xfId="9"/>
    <cellStyle name="Обычный 4 2" xfId="336"/>
    <cellStyle name="Обычный 4 2 2" xfId="507"/>
    <cellStyle name="Обычный 4 3" xfId="506"/>
    <cellStyle name="Обычный 5" xfId="337"/>
    <cellStyle name="Обычный 6" xfId="338"/>
    <cellStyle name="Обычный 7" xfId="339"/>
    <cellStyle name="Обычный 8" xfId="340"/>
    <cellStyle name="Обычный 8 2" xfId="508"/>
    <cellStyle name="Обычный 9" xfId="341"/>
    <cellStyle name="Обычный 9 2" xfId="342"/>
    <cellStyle name="Обычный 9 3" xfId="343"/>
    <cellStyle name="Обычный 9 4" xfId="344"/>
    <cellStyle name="Обычный 9 5" xfId="345"/>
    <cellStyle name="Обычный 9 6" xfId="346"/>
    <cellStyle name="Обычный 9 7" xfId="347"/>
    <cellStyle name="Обычный_Лист1_Рес свод" xfId="526"/>
    <cellStyle name="Обычный_Рес свод" xfId="403"/>
    <cellStyle name="Плохой 2" xfId="348"/>
    <cellStyle name="Плохой 2 2" xfId="349"/>
    <cellStyle name="Плохой 2 3" xfId="350"/>
    <cellStyle name="Плохой 3" xfId="351"/>
    <cellStyle name="Плохой 3 2" xfId="352"/>
    <cellStyle name="Плохой 3 3" xfId="353"/>
    <cellStyle name="Плохой 4" xfId="354"/>
    <cellStyle name="Плохой 5" xfId="355"/>
    <cellStyle name="Плохой 6" xfId="509"/>
    <cellStyle name="Пояснение 2" xfId="356"/>
    <cellStyle name="Пояснение 2 2" xfId="357"/>
    <cellStyle name="Пояснение 2 3" xfId="358"/>
    <cellStyle name="Пояснение 3" xfId="359"/>
    <cellStyle name="Пояснение 3 2" xfId="360"/>
    <cellStyle name="Пояснение 3 3" xfId="361"/>
    <cellStyle name="Пояснение 4" xfId="362"/>
    <cellStyle name="Пояснение 5" xfId="363"/>
    <cellStyle name="Пояснение 6" xfId="510"/>
    <cellStyle name="Примечание 2" xfId="364"/>
    <cellStyle name="Примечание 2 2" xfId="365"/>
    <cellStyle name="Примечание 2 2 2" xfId="518"/>
    <cellStyle name="Примечание 2 3" xfId="366"/>
    <cellStyle name="Примечание 2 3 2" xfId="519"/>
    <cellStyle name="Примечание 2 4" xfId="517"/>
    <cellStyle name="Примечание 3" xfId="367"/>
    <cellStyle name="Примечание 3 2" xfId="368"/>
    <cellStyle name="Примечание 3 2 2" xfId="521"/>
    <cellStyle name="Примечание 3 3" xfId="369"/>
    <cellStyle name="Примечание 3 3 2" xfId="522"/>
    <cellStyle name="Примечание 3 4" xfId="520"/>
    <cellStyle name="Примечание 4" xfId="370"/>
    <cellStyle name="Примечание 4 2" xfId="523"/>
    <cellStyle name="Примечание 5" xfId="371"/>
    <cellStyle name="Примечание 5 2" xfId="524"/>
    <cellStyle name="Примечание 6" xfId="511"/>
    <cellStyle name="Примечание 6 2" xfId="525"/>
    <cellStyle name="Процентный" xfId="402" builtinId="5"/>
    <cellStyle name="Связанная ячейка 2" xfId="372"/>
    <cellStyle name="Связанная ячейка 2 2" xfId="373"/>
    <cellStyle name="Связанная ячейка 2 3" xfId="374"/>
    <cellStyle name="Связанная ячейка 3" xfId="375"/>
    <cellStyle name="Связанная ячейка 3 2" xfId="376"/>
    <cellStyle name="Связанная ячейка 3 3" xfId="377"/>
    <cellStyle name="Связанная ячейка 4" xfId="378"/>
    <cellStyle name="Связанная ячейка 5" xfId="379"/>
    <cellStyle name="Связанная ячейка 6" xfId="512"/>
    <cellStyle name="Текст предупреждения 2" xfId="380"/>
    <cellStyle name="Текст предупреждения 2 2" xfId="381"/>
    <cellStyle name="Текст предупреждения 2 3" xfId="382"/>
    <cellStyle name="Текст предупреждения 3" xfId="383"/>
    <cellStyle name="Текст предупреждения 3 2" xfId="384"/>
    <cellStyle name="Текст предупреждения 3 3" xfId="385"/>
    <cellStyle name="Текст предупреждения 4" xfId="386"/>
    <cellStyle name="Текст предупреждения 5" xfId="387"/>
    <cellStyle name="Текст предупреждения 6" xfId="513"/>
    <cellStyle name="Финансовый" xfId="401" builtinId="3"/>
    <cellStyle name="Финансовый [0] 2" xfId="388"/>
    <cellStyle name="Финансовый 2" xfId="389"/>
    <cellStyle name="Финансовый 3" xfId="390"/>
    <cellStyle name="Финансовый 4" xfId="391"/>
    <cellStyle name="Хороший 2" xfId="392"/>
    <cellStyle name="Хороший 2 2" xfId="393"/>
    <cellStyle name="Хороший 2 3" xfId="394"/>
    <cellStyle name="Хороший 3" xfId="395"/>
    <cellStyle name="Хороший 3 2" xfId="396"/>
    <cellStyle name="Хороший 3 3" xfId="397"/>
    <cellStyle name="Хороший 4" xfId="398"/>
    <cellStyle name="Хороший 5" xfId="399"/>
    <cellStyle name="Хороший 6" xfId="515"/>
    <cellStyle name="Џђћ–…ќ’ќ›‰" xfId="400"/>
    <cellStyle name="Џђћ–…ќ’ќ›‰ 2" xfId="516"/>
  </cellStyles>
  <dxfs count="2">
    <dxf>
      <font>
        <b/>
        <i val="0"/>
        <condense val="0"/>
        <extend val="0"/>
        <color indexed="10"/>
      </font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Views>
    <sheetView tabSelected="1" view="pageBreakPreview" zoomScale="85" zoomScaleNormal="100" zoomScaleSheetLayoutView="85" workbookViewId="0">
      <selection activeCell="A3" sqref="A3:A5"/>
    </sheetView>
  </sheetViews>
  <sheetFormatPr defaultRowHeight="15" x14ac:dyDescent="0.25"/>
  <cols>
    <col min="1" max="1" width="20.85546875" customWidth="1"/>
    <col min="2" max="3" width="13.5703125" customWidth="1"/>
    <col min="4" max="4" width="10.42578125" customWidth="1"/>
    <col min="5" max="5" width="10.7109375" customWidth="1"/>
    <col min="6" max="6" width="13.5703125" customWidth="1"/>
    <col min="7" max="7" width="13.42578125" customWidth="1"/>
    <col min="8" max="9" width="10.140625" customWidth="1"/>
    <col min="10" max="11" width="13.42578125" customWidth="1"/>
    <col min="12" max="13" width="10.140625" customWidth="1"/>
    <col min="14" max="15" width="13.42578125" customWidth="1"/>
    <col min="16" max="17" width="10.140625" customWidth="1"/>
    <col min="18" max="19" width="13.42578125" customWidth="1"/>
    <col min="20" max="21" width="10.140625" customWidth="1"/>
    <col min="22" max="23" width="13.42578125" customWidth="1"/>
    <col min="24" max="25" width="10.140625" customWidth="1"/>
    <col min="26" max="27" width="13.42578125" customWidth="1"/>
    <col min="28" max="29" width="10.140625" customWidth="1"/>
    <col min="30" max="31" width="13.42578125" customWidth="1"/>
    <col min="32" max="33" width="10.140625" customWidth="1"/>
    <col min="34" max="35" width="13.42578125" customWidth="1"/>
    <col min="36" max="37" width="10.140625" customWidth="1"/>
  </cols>
  <sheetData>
    <row r="1" spans="1:37" ht="37.5" customHeight="1" x14ac:dyDescent="0.25">
      <c r="B1" s="19" t="s">
        <v>6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8"/>
      <c r="O1" s="18"/>
      <c r="P1" s="18"/>
      <c r="Q1" s="18"/>
    </row>
    <row r="2" spans="1:37" ht="18.75" customHeight="1" x14ac:dyDescent="0.25"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21.75" customHeight="1" x14ac:dyDescent="0.25">
      <c r="A3" s="20"/>
      <c r="B3" s="21" t="s">
        <v>33</v>
      </c>
      <c r="C3" s="21"/>
      <c r="D3" s="21"/>
      <c r="E3" s="21"/>
      <c r="F3" s="21" t="s">
        <v>25</v>
      </c>
      <c r="G3" s="21"/>
      <c r="H3" s="21"/>
      <c r="I3" s="21"/>
      <c r="J3" s="21" t="s">
        <v>26</v>
      </c>
      <c r="K3" s="21"/>
      <c r="L3" s="21"/>
      <c r="M3" s="21"/>
      <c r="N3" s="21" t="s">
        <v>27</v>
      </c>
      <c r="O3" s="21"/>
      <c r="P3" s="21"/>
      <c r="Q3" s="21"/>
      <c r="R3" s="21" t="s">
        <v>28</v>
      </c>
      <c r="S3" s="21"/>
      <c r="T3" s="21"/>
      <c r="U3" s="21"/>
      <c r="V3" s="21" t="s">
        <v>29</v>
      </c>
      <c r="W3" s="21"/>
      <c r="X3" s="21"/>
      <c r="Y3" s="21"/>
      <c r="Z3" s="21" t="s">
        <v>30</v>
      </c>
      <c r="AA3" s="21"/>
      <c r="AB3" s="21"/>
      <c r="AC3" s="21"/>
      <c r="AD3" s="21" t="s">
        <v>31</v>
      </c>
      <c r="AE3" s="21"/>
      <c r="AF3" s="21"/>
      <c r="AG3" s="21"/>
      <c r="AH3" s="21" t="s">
        <v>32</v>
      </c>
      <c r="AI3" s="21"/>
      <c r="AJ3" s="21"/>
      <c r="AK3" s="21"/>
    </row>
    <row r="4" spans="1:37" ht="26.25" customHeight="1" x14ac:dyDescent="0.25">
      <c r="A4" s="20"/>
      <c r="B4" s="20" t="s">
        <v>0</v>
      </c>
      <c r="C4" s="20" t="s">
        <v>1</v>
      </c>
      <c r="D4" s="20"/>
      <c r="E4" s="20" t="s">
        <v>2</v>
      </c>
      <c r="F4" s="20" t="s">
        <v>0</v>
      </c>
      <c r="G4" s="20" t="s">
        <v>1</v>
      </c>
      <c r="H4" s="20"/>
      <c r="I4" s="20" t="s">
        <v>2</v>
      </c>
      <c r="J4" s="20" t="s">
        <v>0</v>
      </c>
      <c r="K4" s="20" t="s">
        <v>1</v>
      </c>
      <c r="L4" s="20"/>
      <c r="M4" s="20" t="s">
        <v>2</v>
      </c>
      <c r="N4" s="20" t="s">
        <v>0</v>
      </c>
      <c r="O4" s="20" t="s">
        <v>1</v>
      </c>
      <c r="P4" s="20"/>
      <c r="Q4" s="20" t="s">
        <v>2</v>
      </c>
      <c r="R4" s="20" t="s">
        <v>0</v>
      </c>
      <c r="S4" s="20" t="s">
        <v>1</v>
      </c>
      <c r="T4" s="20"/>
      <c r="U4" s="20" t="s">
        <v>2</v>
      </c>
      <c r="V4" s="20" t="s">
        <v>0</v>
      </c>
      <c r="W4" s="20" t="s">
        <v>1</v>
      </c>
      <c r="X4" s="20"/>
      <c r="Y4" s="20" t="s">
        <v>2</v>
      </c>
      <c r="Z4" s="20" t="s">
        <v>0</v>
      </c>
      <c r="AA4" s="20" t="s">
        <v>1</v>
      </c>
      <c r="AB4" s="20"/>
      <c r="AC4" s="20" t="s">
        <v>2</v>
      </c>
      <c r="AD4" s="20" t="s">
        <v>0</v>
      </c>
      <c r="AE4" s="20" t="s">
        <v>1</v>
      </c>
      <c r="AF4" s="20"/>
      <c r="AG4" s="20" t="s">
        <v>2</v>
      </c>
      <c r="AH4" s="20" t="s">
        <v>0</v>
      </c>
      <c r="AI4" s="20" t="s">
        <v>1</v>
      </c>
      <c r="AJ4" s="20"/>
      <c r="AK4" s="20" t="s">
        <v>2</v>
      </c>
    </row>
    <row r="5" spans="1:37" ht="41.25" customHeight="1" x14ac:dyDescent="0.25">
      <c r="A5" s="20"/>
      <c r="B5" s="20"/>
      <c r="C5" s="17" t="s">
        <v>3</v>
      </c>
      <c r="D5" s="17" t="s">
        <v>4</v>
      </c>
      <c r="E5" s="20"/>
      <c r="F5" s="20"/>
      <c r="G5" s="7" t="s">
        <v>3</v>
      </c>
      <c r="H5" s="7" t="s">
        <v>4</v>
      </c>
      <c r="I5" s="20"/>
      <c r="J5" s="20"/>
      <c r="K5" s="7" t="s">
        <v>3</v>
      </c>
      <c r="L5" s="7" t="s">
        <v>4</v>
      </c>
      <c r="M5" s="20"/>
      <c r="N5" s="20"/>
      <c r="O5" s="7" t="s">
        <v>3</v>
      </c>
      <c r="P5" s="7" t="s">
        <v>4</v>
      </c>
      <c r="Q5" s="20"/>
      <c r="R5" s="20"/>
      <c r="S5" s="7" t="s">
        <v>3</v>
      </c>
      <c r="T5" s="7" t="s">
        <v>4</v>
      </c>
      <c r="U5" s="20"/>
      <c r="V5" s="20"/>
      <c r="W5" s="7" t="s">
        <v>3</v>
      </c>
      <c r="X5" s="7" t="s">
        <v>4</v>
      </c>
      <c r="Y5" s="20"/>
      <c r="Z5" s="20"/>
      <c r="AA5" s="7" t="s">
        <v>3</v>
      </c>
      <c r="AB5" s="7" t="s">
        <v>4</v>
      </c>
      <c r="AC5" s="20"/>
      <c r="AD5" s="20"/>
      <c r="AE5" s="7" t="s">
        <v>3</v>
      </c>
      <c r="AF5" s="7" t="s">
        <v>4</v>
      </c>
      <c r="AG5" s="20"/>
      <c r="AH5" s="20"/>
      <c r="AI5" s="7" t="s">
        <v>3</v>
      </c>
      <c r="AJ5" s="7" t="s">
        <v>4</v>
      </c>
      <c r="AK5" s="20"/>
    </row>
    <row r="6" spans="1:37" ht="42" customHeight="1" x14ac:dyDescent="0.25">
      <c r="A6" s="9" t="s">
        <v>7</v>
      </c>
      <c r="B6" s="6">
        <v>848.2</v>
      </c>
      <c r="C6" s="6">
        <v>805.8</v>
      </c>
      <c r="D6" s="6">
        <v>42.4</v>
      </c>
      <c r="E6" s="6">
        <v>4.9994812837754994</v>
      </c>
      <c r="F6" s="6">
        <v>805.82399999999996</v>
      </c>
      <c r="G6" s="6">
        <v>759.45100000000002</v>
      </c>
      <c r="H6" s="6">
        <v>46.372999999999998</v>
      </c>
      <c r="I6" s="6">
        <v>5.7547305615121909</v>
      </c>
      <c r="J6" s="7">
        <v>791.8</v>
      </c>
      <c r="K6" s="7">
        <v>735.5</v>
      </c>
      <c r="L6" s="7">
        <v>56.3</v>
      </c>
      <c r="M6" s="7">
        <v>7.1</v>
      </c>
      <c r="N6" s="2">
        <v>786.06500000000005</v>
      </c>
      <c r="O6" s="2">
        <v>714.19100000000003</v>
      </c>
      <c r="P6" s="2">
        <v>71.873999999999995</v>
      </c>
      <c r="Q6" s="4">
        <v>9.1435186657591938</v>
      </c>
      <c r="R6" s="2">
        <v>781.54582316918788</v>
      </c>
      <c r="S6" s="2">
        <v>702.66505222448097</v>
      </c>
      <c r="T6" s="2">
        <v>78.88077094470674</v>
      </c>
      <c r="U6" s="4">
        <v>10.092916961009816</v>
      </c>
      <c r="V6" s="2">
        <f>SUM(V7:V24)</f>
        <v>790</v>
      </c>
      <c r="W6" s="2">
        <f>SUM(W7:W24)</f>
        <v>707.4</v>
      </c>
      <c r="X6" s="2">
        <f>SUM(X7:X24)</f>
        <v>82.600000000000023</v>
      </c>
      <c r="Y6" s="2">
        <f>+X6/V6*100</f>
        <v>10.455696202531648</v>
      </c>
      <c r="Z6" s="2">
        <f>+AA6+AB6</f>
        <v>782.10759970725292</v>
      </c>
      <c r="AA6" s="2">
        <f>SUM(AA7:AA24)</f>
        <v>711.24383963467756</v>
      </c>
      <c r="AB6" s="2">
        <f>SUM(AB7:AB24)</f>
        <v>70.863760072575317</v>
      </c>
      <c r="AC6" s="3">
        <v>9.0606152016806902</v>
      </c>
      <c r="AD6" s="2">
        <f>SUM(AD7:AD24)</f>
        <v>779.46000117733627</v>
      </c>
      <c r="AE6" s="2">
        <f>SUM(AE7:AE24)</f>
        <v>705.2</v>
      </c>
      <c r="AF6" s="2">
        <f>SUM(AF7:AF24)</f>
        <v>74.260001177336321</v>
      </c>
      <c r="AG6" s="3">
        <v>9.5271086476753428</v>
      </c>
      <c r="AH6" s="2">
        <v>688.79999999999984</v>
      </c>
      <c r="AI6" s="2">
        <v>647.20000000000005</v>
      </c>
      <c r="AJ6" s="2">
        <v>41.6</v>
      </c>
      <c r="AK6" s="3">
        <v>6.0394889663182365</v>
      </c>
    </row>
    <row r="7" spans="1:37" ht="22.5" customHeight="1" x14ac:dyDescent="0.25">
      <c r="A7" s="11" t="s">
        <v>8</v>
      </c>
      <c r="B7" s="5">
        <v>148.30000000000001</v>
      </c>
      <c r="C7" s="5">
        <v>141.4</v>
      </c>
      <c r="D7" s="5">
        <v>6.9</v>
      </c>
      <c r="E7" s="5">
        <v>4.6494066882416396</v>
      </c>
      <c r="F7" s="5">
        <v>138.6</v>
      </c>
      <c r="G7" s="5">
        <v>131</v>
      </c>
      <c r="H7" s="5">
        <v>7.6</v>
      </c>
      <c r="I7" s="5">
        <v>5.5063345935182246</v>
      </c>
      <c r="J7" s="5">
        <v>137.48099999999999</v>
      </c>
      <c r="K7" s="5">
        <v>128.227</v>
      </c>
      <c r="L7" s="5">
        <v>9.2539999999999996</v>
      </c>
      <c r="M7" s="8">
        <v>6.7</v>
      </c>
      <c r="N7" s="12">
        <v>145.94999999999999</v>
      </c>
      <c r="O7" s="12">
        <v>133.23699999999999</v>
      </c>
      <c r="P7" s="12">
        <v>12.712999999999999</v>
      </c>
      <c r="Q7" s="12">
        <v>8.7105173004453587</v>
      </c>
      <c r="R7" s="12">
        <v>145.75491104500921</v>
      </c>
      <c r="S7" s="12">
        <v>131.6639110450092</v>
      </c>
      <c r="T7" s="12">
        <v>14.090999999999999</v>
      </c>
      <c r="U7" s="12">
        <v>9.6675987786433417</v>
      </c>
      <c r="V7" s="13">
        <v>141.4</v>
      </c>
      <c r="W7" s="13">
        <v>127.4</v>
      </c>
      <c r="X7" s="13">
        <v>14</v>
      </c>
      <c r="Y7" s="13">
        <v>9.9</v>
      </c>
      <c r="Z7" s="12">
        <f>+AA7+AB7</f>
        <v>148.50499322418102</v>
      </c>
      <c r="AA7" s="12">
        <v>135.71199322418101</v>
      </c>
      <c r="AB7" s="12">
        <v>12.792999999999999</v>
      </c>
      <c r="AC7" s="14">
        <v>8.6145251565298349</v>
      </c>
      <c r="AD7" s="12">
        <v>140.44729057360001</v>
      </c>
      <c r="AE7" s="12">
        <v>128.327</v>
      </c>
      <c r="AF7" s="12">
        <v>12.1202905736</v>
      </c>
      <c r="AG7" s="14">
        <v>8.6297788473523322</v>
      </c>
      <c r="AH7" s="12">
        <v>117.6</v>
      </c>
      <c r="AI7" s="12">
        <v>110.6</v>
      </c>
      <c r="AJ7" s="12">
        <v>7</v>
      </c>
      <c r="AK7" s="14">
        <v>5.9523809523809526</v>
      </c>
    </row>
    <row r="8" spans="1:37" ht="22.5" customHeight="1" x14ac:dyDescent="0.25">
      <c r="A8" s="1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</row>
    <row r="9" spans="1:37" ht="22.5" customHeight="1" x14ac:dyDescent="0.25">
      <c r="A9" s="11" t="s">
        <v>10</v>
      </c>
      <c r="B9" s="5">
        <v>90</v>
      </c>
      <c r="C9" s="5">
        <v>85.5</v>
      </c>
      <c r="D9" s="5">
        <v>4.5</v>
      </c>
      <c r="E9" s="5">
        <v>4.949218836811343</v>
      </c>
      <c r="F9" s="5">
        <v>90.4</v>
      </c>
      <c r="G9" s="5">
        <v>85.2</v>
      </c>
      <c r="H9" s="5">
        <v>5.2</v>
      </c>
      <c r="I9" s="5">
        <v>5.7874468838526916</v>
      </c>
      <c r="J9" s="5">
        <v>82.908000000000001</v>
      </c>
      <c r="K9" s="5">
        <v>77.090999999999994</v>
      </c>
      <c r="L9" s="5">
        <v>5.8170000000000002</v>
      </c>
      <c r="M9" s="5">
        <v>7.0162107396149951</v>
      </c>
      <c r="N9" s="12">
        <v>78.491</v>
      </c>
      <c r="O9" s="12">
        <v>71.245000000000005</v>
      </c>
      <c r="P9" s="12">
        <v>7.2460000000000004</v>
      </c>
      <c r="Q9" s="12">
        <v>9.2316316520365405</v>
      </c>
      <c r="R9" s="12">
        <v>86.111743545156287</v>
      </c>
      <c r="S9" s="12">
        <v>77.549654797611382</v>
      </c>
      <c r="T9" s="12">
        <v>8.562088747544907</v>
      </c>
      <c r="U9" s="12">
        <v>9.9429977782937566</v>
      </c>
      <c r="V9" s="13">
        <v>88.3</v>
      </c>
      <c r="W9" s="13">
        <v>79.2</v>
      </c>
      <c r="X9" s="13">
        <v>9.1</v>
      </c>
      <c r="Y9" s="13">
        <v>10.3</v>
      </c>
      <c r="Z9" s="12">
        <f>+AA9+AB9</f>
        <v>81.477227444984081</v>
      </c>
      <c r="AA9" s="12">
        <v>74.19422744498408</v>
      </c>
      <c r="AB9" s="12">
        <v>7.2830000000000004</v>
      </c>
      <c r="AC9" s="14">
        <v>8.9386939496900588</v>
      </c>
      <c r="AD9" s="12">
        <v>84.367862760799994</v>
      </c>
      <c r="AE9" s="12">
        <v>76.971999999999994</v>
      </c>
      <c r="AF9" s="12">
        <v>7.3958627608</v>
      </c>
      <c r="AG9" s="14">
        <v>8.7662085049715799</v>
      </c>
      <c r="AH9" s="12">
        <v>70.3</v>
      </c>
      <c r="AI9" s="12">
        <v>66.7</v>
      </c>
      <c r="AJ9" s="12">
        <v>3.6</v>
      </c>
      <c r="AK9" s="14">
        <v>5.1209103840682797</v>
      </c>
    </row>
    <row r="10" spans="1:37" ht="22.5" customHeight="1" x14ac:dyDescent="0.25">
      <c r="A10" s="11" t="s">
        <v>11</v>
      </c>
      <c r="B10" s="5">
        <v>82.5</v>
      </c>
      <c r="C10" s="5">
        <v>78.3</v>
      </c>
      <c r="D10" s="5">
        <v>4.2</v>
      </c>
      <c r="E10" s="5">
        <v>5.0493417064714015</v>
      </c>
      <c r="F10" s="5">
        <v>80.399999999999991</v>
      </c>
      <c r="G10" s="5">
        <v>75.8</v>
      </c>
      <c r="H10" s="5">
        <v>4.5999999999999996</v>
      </c>
      <c r="I10" s="5">
        <v>5.6872568153848064</v>
      </c>
      <c r="J10" s="5">
        <v>80.201999999999998</v>
      </c>
      <c r="K10" s="5">
        <v>74.685000000000002</v>
      </c>
      <c r="L10" s="5">
        <v>5.5170000000000003</v>
      </c>
      <c r="M10" s="5">
        <v>6.8788808259145657</v>
      </c>
      <c r="N10" s="12">
        <v>81.352000000000004</v>
      </c>
      <c r="O10" s="12">
        <v>73.978999999999999</v>
      </c>
      <c r="P10" s="12">
        <v>7.3730000000000002</v>
      </c>
      <c r="Q10" s="12">
        <v>9.0630838823876481</v>
      </c>
      <c r="R10" s="12">
        <v>77.541475432413137</v>
      </c>
      <c r="S10" s="12">
        <v>69.75647543241314</v>
      </c>
      <c r="T10" s="12">
        <v>7.7850000000000001</v>
      </c>
      <c r="U10" s="12">
        <v>10.039788328229037</v>
      </c>
      <c r="V10" s="13">
        <v>78</v>
      </c>
      <c r="W10" s="13">
        <v>69.900000000000006</v>
      </c>
      <c r="X10" s="13">
        <v>8.1</v>
      </c>
      <c r="Y10" s="13">
        <v>10.3</v>
      </c>
      <c r="Z10" s="12">
        <f>+AA10+AB10</f>
        <v>79.827379554683333</v>
      </c>
      <c r="AA10" s="12">
        <v>72.688379554683337</v>
      </c>
      <c r="AB10" s="12">
        <v>7.1390000000000002</v>
      </c>
      <c r="AC10" s="14">
        <v>8.9430469092495315</v>
      </c>
      <c r="AD10" s="12">
        <v>79.558247313199999</v>
      </c>
      <c r="AE10" s="12">
        <v>72.408000000000001</v>
      </c>
      <c r="AF10" s="12">
        <v>7.1502473131999995</v>
      </c>
      <c r="AG10" s="14">
        <v>8.9874369467333128</v>
      </c>
      <c r="AH10" s="12">
        <v>66.599999999999994</v>
      </c>
      <c r="AI10" s="12">
        <v>62.5</v>
      </c>
      <c r="AJ10" s="12">
        <v>4.0999999999999996</v>
      </c>
      <c r="AK10" s="14">
        <v>6.1561561561561557</v>
      </c>
    </row>
    <row r="11" spans="1:37" ht="22.5" customHeight="1" x14ac:dyDescent="0.25">
      <c r="A11" s="11" t="s">
        <v>12</v>
      </c>
      <c r="B11" s="5">
        <v>7.7</v>
      </c>
      <c r="C11" s="5">
        <v>7.3</v>
      </c>
      <c r="D11" s="5">
        <v>0.4</v>
      </c>
      <c r="E11" s="5">
        <v>5.5389804125048645</v>
      </c>
      <c r="F11" s="5">
        <v>8.7999999999999989</v>
      </c>
      <c r="G11" s="5">
        <v>8.2999999999999989</v>
      </c>
      <c r="H11" s="5">
        <v>0.5</v>
      </c>
      <c r="I11" s="5">
        <v>5.8409889985255763</v>
      </c>
      <c r="J11" s="5">
        <v>8.4260000000000002</v>
      </c>
      <c r="K11" s="5">
        <v>7.7409999999999997</v>
      </c>
      <c r="L11" s="5">
        <v>0.68500000000000005</v>
      </c>
      <c r="M11" s="5">
        <v>8.1295988606693577</v>
      </c>
      <c r="N11" s="12">
        <v>8.3840000000000003</v>
      </c>
      <c r="O11" s="12">
        <v>7.5830000000000002</v>
      </c>
      <c r="P11" s="12">
        <v>0.80100000000000005</v>
      </c>
      <c r="Q11" s="12">
        <v>9.5539122137404568</v>
      </c>
      <c r="R11" s="12">
        <v>9.2151376533945477</v>
      </c>
      <c r="S11" s="12">
        <v>8.2471376533945477</v>
      </c>
      <c r="T11" s="12">
        <v>0.96799999999999997</v>
      </c>
      <c r="U11" s="12">
        <v>10.504455130341121</v>
      </c>
      <c r="V11" s="13">
        <v>8.3000000000000007</v>
      </c>
      <c r="W11" s="13">
        <v>7.4</v>
      </c>
      <c r="X11" s="13">
        <v>0.9</v>
      </c>
      <c r="Y11" s="13">
        <v>11.200000000000001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22.5" customHeight="1" x14ac:dyDescent="0.25">
      <c r="A12" s="11" t="s">
        <v>14</v>
      </c>
      <c r="B12" s="5">
        <v>20.5</v>
      </c>
      <c r="C12" s="5">
        <v>19.399999999999999</v>
      </c>
      <c r="D12" s="5">
        <v>1.1000000000000001</v>
      </c>
      <c r="E12" s="5">
        <v>5.245709828393136</v>
      </c>
      <c r="F12" s="5">
        <v>20.900000000000002</v>
      </c>
      <c r="G12" s="5">
        <v>19.700000000000003</v>
      </c>
      <c r="H12" s="5">
        <v>1.2</v>
      </c>
      <c r="I12" s="5">
        <v>5.7271680736761317</v>
      </c>
      <c r="J12" s="5">
        <v>20.817</v>
      </c>
      <c r="K12" s="5">
        <v>19.277000000000001</v>
      </c>
      <c r="L12" s="5">
        <v>1.54</v>
      </c>
      <c r="M12" s="5">
        <v>7.3977998751020806</v>
      </c>
      <c r="N12" s="12">
        <v>19.86</v>
      </c>
      <c r="O12" s="12">
        <v>17.984999999999999</v>
      </c>
      <c r="P12" s="12">
        <v>1.875</v>
      </c>
      <c r="Q12" s="12">
        <v>9.4410876132930515</v>
      </c>
      <c r="R12" s="12">
        <v>20.178988746361107</v>
      </c>
      <c r="S12" s="12">
        <v>18.055988746361106</v>
      </c>
      <c r="T12" s="12">
        <v>2.1230000000000002</v>
      </c>
      <c r="U12" s="12">
        <v>10.520844362841734</v>
      </c>
      <c r="V12" s="13">
        <v>21.400000000000002</v>
      </c>
      <c r="W12" s="13">
        <v>19.100000000000001</v>
      </c>
      <c r="X12" s="13">
        <v>2.3000000000000003</v>
      </c>
      <c r="Y12" s="13">
        <v>10.9</v>
      </c>
      <c r="Z12" s="12">
        <f t="shared" ref="Z12:Z14" si="0">+AA12+AB12</f>
        <v>19.4213051784836</v>
      </c>
      <c r="AA12" s="12">
        <v>17.588305178483601</v>
      </c>
      <c r="AB12" s="12">
        <v>1.833</v>
      </c>
      <c r="AC12" s="14">
        <v>9.4380886513782656</v>
      </c>
      <c r="AD12" s="12">
        <v>18.020770078000002</v>
      </c>
      <c r="AE12" s="12">
        <v>15.912000000000001</v>
      </c>
      <c r="AF12" s="12">
        <v>2.108770078</v>
      </c>
      <c r="AG12" s="14">
        <v>11.701886594593507</v>
      </c>
      <c r="AH12" s="12">
        <v>19.599999999999998</v>
      </c>
      <c r="AI12" s="12">
        <v>18.399999999999999</v>
      </c>
      <c r="AJ12" s="12">
        <v>1.2</v>
      </c>
      <c r="AK12" s="14">
        <v>6.1224489795918373</v>
      </c>
    </row>
    <row r="13" spans="1:37" ht="22.5" customHeight="1" x14ac:dyDescent="0.25">
      <c r="A13" s="11" t="s">
        <v>15</v>
      </c>
      <c r="B13" s="5">
        <v>32.700000000000003</v>
      </c>
      <c r="C13" s="5">
        <v>30.9</v>
      </c>
      <c r="D13" s="5">
        <v>1.8</v>
      </c>
      <c r="E13" s="5">
        <v>5.4475421863536315</v>
      </c>
      <c r="F13" s="5">
        <v>30.7</v>
      </c>
      <c r="G13" s="5">
        <v>28.9</v>
      </c>
      <c r="H13" s="5">
        <v>1.8</v>
      </c>
      <c r="I13" s="5">
        <v>5.7932292854582776</v>
      </c>
      <c r="J13" s="5">
        <v>30.146999999999998</v>
      </c>
      <c r="K13" s="5">
        <v>27.954999999999998</v>
      </c>
      <c r="L13" s="5">
        <v>2.1920000000000002</v>
      </c>
      <c r="M13" s="5">
        <v>7.2710385776362489</v>
      </c>
      <c r="N13" s="12">
        <v>29.49</v>
      </c>
      <c r="O13" s="12">
        <v>26.710999999999999</v>
      </c>
      <c r="P13" s="12">
        <v>2.7789999999999999</v>
      </c>
      <c r="Q13" s="12">
        <v>9.4235334011529339</v>
      </c>
      <c r="R13" s="12">
        <v>28.305394027249484</v>
      </c>
      <c r="S13" s="12">
        <v>25.369967315838341</v>
      </c>
      <c r="T13" s="12">
        <v>2.9354267114111416</v>
      </c>
      <c r="U13" s="12">
        <v>10.370555903886089</v>
      </c>
      <c r="V13" s="13">
        <v>29.400000000000002</v>
      </c>
      <c r="W13" s="13">
        <v>26.200000000000003</v>
      </c>
      <c r="X13" s="13">
        <v>3.2</v>
      </c>
      <c r="Y13" s="13">
        <v>10.9</v>
      </c>
      <c r="Z13" s="12">
        <f t="shared" si="0"/>
        <v>35.684962313758319</v>
      </c>
      <c r="AA13" s="12">
        <v>32.323962313758322</v>
      </c>
      <c r="AB13" s="12">
        <v>3.3610000000000002</v>
      </c>
      <c r="AC13" s="14">
        <v>9.4185331357465607</v>
      </c>
      <c r="AD13" s="12">
        <v>35.83011425999279</v>
      </c>
      <c r="AE13" s="12">
        <v>32.113</v>
      </c>
      <c r="AF13" s="12">
        <v>3.7171142599927922</v>
      </c>
      <c r="AG13" s="14">
        <v>10.374274089723597</v>
      </c>
      <c r="AH13" s="12">
        <v>33.800000000000004</v>
      </c>
      <c r="AI13" s="12">
        <v>31.6</v>
      </c>
      <c r="AJ13" s="12">
        <v>2.2000000000000002</v>
      </c>
      <c r="AK13" s="14">
        <v>6.5088757396449708</v>
      </c>
    </row>
    <row r="14" spans="1:37" ht="22.5" customHeight="1" x14ac:dyDescent="0.25">
      <c r="A14" s="11" t="s">
        <v>16</v>
      </c>
      <c r="B14" s="5">
        <v>65.900000000000006</v>
      </c>
      <c r="C14" s="5">
        <v>62.9</v>
      </c>
      <c r="D14" s="5">
        <v>3</v>
      </c>
      <c r="E14" s="5">
        <v>4.6499628185087944</v>
      </c>
      <c r="F14" s="5">
        <v>55.5</v>
      </c>
      <c r="G14" s="5">
        <v>52.1</v>
      </c>
      <c r="H14" s="5">
        <v>3.4</v>
      </c>
      <c r="I14" s="5">
        <v>6.0679174619179665</v>
      </c>
      <c r="J14" s="5">
        <v>56.314999999999998</v>
      </c>
      <c r="K14" s="5">
        <v>52.161999999999999</v>
      </c>
      <c r="L14" s="5">
        <v>4.1529999999999996</v>
      </c>
      <c r="M14" s="5">
        <v>7.3745893634022908</v>
      </c>
      <c r="N14" s="12">
        <v>55.14</v>
      </c>
      <c r="O14" s="12">
        <v>49.825000000000003</v>
      </c>
      <c r="P14" s="12">
        <v>5.3150000000000004</v>
      </c>
      <c r="Q14" s="12">
        <v>9.6391004715270228</v>
      </c>
      <c r="R14" s="12">
        <v>55.360368195171105</v>
      </c>
      <c r="S14" s="12">
        <v>49.504904985795577</v>
      </c>
      <c r="T14" s="12">
        <v>5.8554632093755279</v>
      </c>
      <c r="U14" s="12">
        <v>10.576994699045878</v>
      </c>
      <c r="V14" s="13">
        <v>56.500000000000007</v>
      </c>
      <c r="W14" s="13">
        <v>50.300000000000004</v>
      </c>
      <c r="X14" s="13">
        <v>6.2</v>
      </c>
      <c r="Y14" s="13">
        <v>11</v>
      </c>
      <c r="Z14" s="12">
        <f t="shared" si="0"/>
        <v>55.559932128454207</v>
      </c>
      <c r="AA14" s="12">
        <v>50.274932128454203</v>
      </c>
      <c r="AB14" s="12">
        <v>5.2850000000000001</v>
      </c>
      <c r="AC14" s="14">
        <v>9.5122506409495138</v>
      </c>
      <c r="AD14" s="12">
        <v>58.418896120799999</v>
      </c>
      <c r="AE14" s="12">
        <v>52.393000000000001</v>
      </c>
      <c r="AF14" s="12">
        <v>6.0258961207999997</v>
      </c>
      <c r="AG14" s="14">
        <v>10.31497772285787</v>
      </c>
      <c r="AH14" s="12">
        <v>47.9</v>
      </c>
      <c r="AI14" s="12">
        <v>45</v>
      </c>
      <c r="AJ14" s="12">
        <v>2.9</v>
      </c>
      <c r="AK14" s="14">
        <v>6.0542797494780798</v>
      </c>
    </row>
    <row r="15" spans="1:37" ht="22.5" customHeight="1" x14ac:dyDescent="0.25">
      <c r="A15" s="11" t="s">
        <v>13</v>
      </c>
      <c r="B15" s="5">
        <v>16.899999999999999</v>
      </c>
      <c r="C15" s="5">
        <v>16</v>
      </c>
      <c r="D15" s="5">
        <v>0.9</v>
      </c>
      <c r="E15" s="5">
        <v>5.3457635119188112</v>
      </c>
      <c r="F15" s="5">
        <v>18.899999999999999</v>
      </c>
      <c r="G15" s="5">
        <v>17.799999999999997</v>
      </c>
      <c r="H15" s="5">
        <v>1.1000000000000001</v>
      </c>
      <c r="I15" s="5">
        <v>5.8487270417614994</v>
      </c>
      <c r="J15" s="5">
        <v>18.422999999999998</v>
      </c>
      <c r="K15" s="5">
        <v>17.036000000000001</v>
      </c>
      <c r="L15" s="5">
        <v>1.387</v>
      </c>
      <c r="M15" s="8">
        <v>7.5</v>
      </c>
      <c r="N15" s="12">
        <v>18.29</v>
      </c>
      <c r="O15" s="12">
        <v>16.55</v>
      </c>
      <c r="P15" s="12">
        <v>1.74</v>
      </c>
      <c r="Q15" s="12">
        <v>9.513395297977036</v>
      </c>
      <c r="R15" s="12">
        <v>18.993566997773264</v>
      </c>
      <c r="S15" s="12">
        <v>16.985657150086578</v>
      </c>
      <c r="T15" s="12">
        <v>2.0079098476866846</v>
      </c>
      <c r="U15" s="12">
        <v>10.57152586411012</v>
      </c>
      <c r="V15" s="13">
        <v>20.100000000000001</v>
      </c>
      <c r="W15" s="13">
        <v>17.900000000000002</v>
      </c>
      <c r="X15" s="13">
        <v>2.2000000000000002</v>
      </c>
      <c r="Y15" s="13">
        <v>11</v>
      </c>
      <c r="Z15" s="12">
        <f t="shared" ref="Z15:Z24" si="1">+AA15+AB15</f>
        <v>19.306544832674728</v>
      </c>
      <c r="AA15" s="12">
        <v>17.474544832674727</v>
      </c>
      <c r="AB15" s="12">
        <v>1.8320000000000001</v>
      </c>
      <c r="AC15" s="14">
        <v>9.489010156283852</v>
      </c>
      <c r="AD15" s="12">
        <v>17.9039285076</v>
      </c>
      <c r="AE15" s="12">
        <v>15.848000000000001</v>
      </c>
      <c r="AF15" s="12">
        <v>2.0559285076</v>
      </c>
      <c r="AG15" s="14">
        <v>11.483113925121424</v>
      </c>
      <c r="AH15" s="12">
        <v>18.5</v>
      </c>
      <c r="AI15" s="12">
        <v>17.399999999999999</v>
      </c>
      <c r="AJ15" s="12">
        <v>1.1000000000000001</v>
      </c>
      <c r="AK15" s="14">
        <v>5.9459459459459465</v>
      </c>
    </row>
    <row r="16" spans="1:37" ht="22.5" customHeight="1" x14ac:dyDescent="0.25">
      <c r="A16" s="11" t="s">
        <v>17</v>
      </c>
      <c r="B16" s="5">
        <v>14.5</v>
      </c>
      <c r="C16" s="5">
        <v>13.8</v>
      </c>
      <c r="D16" s="5">
        <v>0.7</v>
      </c>
      <c r="E16" s="5">
        <v>4.9459254666942201</v>
      </c>
      <c r="F16" s="5">
        <v>14.500000000000002</v>
      </c>
      <c r="G16" s="5">
        <v>13.700000000000001</v>
      </c>
      <c r="H16" s="5">
        <v>0.8</v>
      </c>
      <c r="I16" s="5">
        <v>5.446773303916161</v>
      </c>
      <c r="J16" s="5">
        <v>13.824</v>
      </c>
      <c r="K16" s="5">
        <v>12.827</v>
      </c>
      <c r="L16" s="5">
        <v>0.997</v>
      </c>
      <c r="M16" s="5">
        <v>7.2120949074074066</v>
      </c>
      <c r="N16" s="12">
        <v>11.417999999999999</v>
      </c>
      <c r="O16" s="12">
        <v>10.378</v>
      </c>
      <c r="P16" s="12">
        <v>1.04</v>
      </c>
      <c r="Q16" s="12">
        <v>9.1084252933963903</v>
      </c>
      <c r="R16" s="12">
        <v>13.423457027230633</v>
      </c>
      <c r="S16" s="12">
        <v>12.094457027230634</v>
      </c>
      <c r="T16" s="12">
        <v>1.329</v>
      </c>
      <c r="U16" s="12">
        <v>9.9005792420239409</v>
      </c>
      <c r="V16" s="13">
        <v>12.600000000000001</v>
      </c>
      <c r="W16" s="13">
        <v>11.4</v>
      </c>
      <c r="X16" s="13">
        <v>1.2000000000000002</v>
      </c>
      <c r="Y16" s="13">
        <v>9.7000000000000011</v>
      </c>
      <c r="Z16" s="12">
        <f t="shared" si="1"/>
        <v>10.304307520785668</v>
      </c>
      <c r="AA16" s="12">
        <v>9.324307520785668</v>
      </c>
      <c r="AB16" s="12">
        <v>0.98</v>
      </c>
      <c r="AC16" s="14">
        <v>9.510585723719533</v>
      </c>
      <c r="AD16" s="12">
        <v>11.341353876182964</v>
      </c>
      <c r="AE16" s="12">
        <v>9.9990000000000006</v>
      </c>
      <c r="AF16" s="12">
        <v>1.3423538761829641</v>
      </c>
      <c r="AG16" s="14">
        <v>11.835922684697547</v>
      </c>
      <c r="AH16" s="12">
        <v>11.9</v>
      </c>
      <c r="AI16" s="12">
        <v>11.1</v>
      </c>
      <c r="AJ16" s="12">
        <v>0.8</v>
      </c>
      <c r="AK16" s="14">
        <v>6.7226890756302522</v>
      </c>
    </row>
    <row r="17" spans="1:37" ht="22.5" customHeight="1" x14ac:dyDescent="0.25">
      <c r="A17" s="11" t="s">
        <v>18</v>
      </c>
      <c r="B17" s="5">
        <v>24.3</v>
      </c>
      <c r="C17" s="5">
        <v>23.1</v>
      </c>
      <c r="D17" s="5">
        <v>1.2</v>
      </c>
      <c r="E17" s="5">
        <v>5.0483042137718401</v>
      </c>
      <c r="F17" s="5">
        <v>23.8</v>
      </c>
      <c r="G17" s="5">
        <v>22.5</v>
      </c>
      <c r="H17" s="5">
        <v>1.3</v>
      </c>
      <c r="I17" s="5">
        <v>5.5035079611813638</v>
      </c>
      <c r="J17" s="5">
        <v>22.629000000000001</v>
      </c>
      <c r="K17" s="5">
        <v>21.047999999999998</v>
      </c>
      <c r="L17" s="5">
        <v>1.581</v>
      </c>
      <c r="M17" s="5">
        <v>6.9866101020814</v>
      </c>
      <c r="N17" s="12">
        <v>22.103999999999999</v>
      </c>
      <c r="O17" s="12">
        <v>20.119</v>
      </c>
      <c r="P17" s="12">
        <v>1.9850000000000001</v>
      </c>
      <c r="Q17" s="12">
        <v>8.9802750633369524</v>
      </c>
      <c r="R17" s="12">
        <v>22.26806578310115</v>
      </c>
      <c r="S17" s="12">
        <v>19.995065783101147</v>
      </c>
      <c r="T17" s="12">
        <v>2.2730000000000001</v>
      </c>
      <c r="U17" s="12">
        <v>10.20744245207386</v>
      </c>
      <c r="V17" s="13">
        <v>22.6</v>
      </c>
      <c r="W17" s="13">
        <v>20.200000000000003</v>
      </c>
      <c r="X17" s="13">
        <v>2.4000000000000004</v>
      </c>
      <c r="Y17" s="13">
        <v>10.600000000000001</v>
      </c>
      <c r="Z17" s="12">
        <f t="shared" si="1"/>
        <v>20.882334187235259</v>
      </c>
      <c r="AA17" s="12">
        <v>18.957334187235258</v>
      </c>
      <c r="AB17" s="12">
        <v>1.925</v>
      </c>
      <c r="AC17" s="14">
        <v>9.2183181379057455</v>
      </c>
      <c r="AD17" s="12">
        <v>21.144743698799999</v>
      </c>
      <c r="AE17" s="12">
        <v>19.126000000000001</v>
      </c>
      <c r="AF17" s="12">
        <v>2.0187436987999998</v>
      </c>
      <c r="AG17" s="14">
        <v>9.5472601964646522</v>
      </c>
      <c r="AH17" s="12">
        <v>18.3</v>
      </c>
      <c r="AI17" s="12">
        <v>16.7</v>
      </c>
      <c r="AJ17" s="12">
        <v>1.6</v>
      </c>
      <c r="AK17" s="14">
        <v>8.7431693989071047</v>
      </c>
    </row>
    <row r="18" spans="1:37" ht="22.5" customHeight="1" x14ac:dyDescent="0.25">
      <c r="A18" s="11" t="s">
        <v>9</v>
      </c>
      <c r="B18" s="5">
        <v>34.200000000000003</v>
      </c>
      <c r="C18" s="5">
        <v>32.299999999999997</v>
      </c>
      <c r="D18" s="5">
        <v>1.9</v>
      </c>
      <c r="E18" s="5">
        <v>5.449910633185854</v>
      </c>
      <c r="F18" s="5">
        <v>34.4</v>
      </c>
      <c r="G18" s="5">
        <v>32.4</v>
      </c>
      <c r="H18" s="5">
        <v>2</v>
      </c>
      <c r="I18" s="5">
        <v>5.8054560805892805</v>
      </c>
      <c r="J18" s="5">
        <v>34.28</v>
      </c>
      <c r="K18" s="5">
        <v>31.835000000000001</v>
      </c>
      <c r="L18" s="5">
        <v>2.4449999999999998</v>
      </c>
      <c r="M18" s="8">
        <v>7.1</v>
      </c>
      <c r="N18" s="12">
        <v>33.531999999999996</v>
      </c>
      <c r="O18" s="12">
        <v>30.486999999999998</v>
      </c>
      <c r="P18" s="12">
        <v>3.0449999999999999</v>
      </c>
      <c r="Q18" s="12">
        <v>9.0808779673148035</v>
      </c>
      <c r="R18" s="12">
        <v>32.824733912773723</v>
      </c>
      <c r="S18" s="12">
        <v>29.473733912773724</v>
      </c>
      <c r="T18" s="12">
        <v>3.351</v>
      </c>
      <c r="U18" s="12">
        <v>10.208765161371074</v>
      </c>
      <c r="V18" s="13">
        <v>33.6</v>
      </c>
      <c r="W18" s="13">
        <v>30.1</v>
      </c>
      <c r="X18" s="13">
        <v>3.5</v>
      </c>
      <c r="Y18" s="13">
        <v>10.5</v>
      </c>
      <c r="Z18" s="12">
        <f t="shared" si="1"/>
        <v>31.14235359068871</v>
      </c>
      <c r="AA18" s="12">
        <v>28.29635359068871</v>
      </c>
      <c r="AB18" s="12">
        <v>2.8460000000000001</v>
      </c>
      <c r="AC18" s="14">
        <v>9.13867987437831</v>
      </c>
      <c r="AD18" s="12">
        <v>24.124195789999998</v>
      </c>
      <c r="AE18" s="12">
        <v>21.898</v>
      </c>
      <c r="AF18" s="12">
        <v>2.2261957899999998</v>
      </c>
      <c r="AG18" s="14">
        <v>9.2280621885965886</v>
      </c>
      <c r="AH18" s="16"/>
      <c r="AI18" s="16"/>
      <c r="AJ18" s="16"/>
      <c r="AK18" s="16"/>
    </row>
    <row r="19" spans="1:37" ht="22.5" customHeight="1" x14ac:dyDescent="0.25">
      <c r="A19" s="11" t="s">
        <v>19</v>
      </c>
      <c r="B19" s="5">
        <v>17.399999999999999</v>
      </c>
      <c r="C19" s="5">
        <v>16.5</v>
      </c>
      <c r="D19" s="5">
        <v>0.9</v>
      </c>
      <c r="E19" s="5">
        <v>5.3480523937539326</v>
      </c>
      <c r="F19" s="5">
        <v>16.600000000000001</v>
      </c>
      <c r="G19" s="5">
        <v>15.600000000000001</v>
      </c>
      <c r="H19" s="5">
        <v>1</v>
      </c>
      <c r="I19" s="5">
        <v>6.1482820976491857</v>
      </c>
      <c r="J19" s="5">
        <v>16.509</v>
      </c>
      <c r="K19" s="5">
        <v>15.173999999999999</v>
      </c>
      <c r="L19" s="5">
        <v>1.335</v>
      </c>
      <c r="M19" s="5">
        <v>8.0864982736689068</v>
      </c>
      <c r="N19" s="12">
        <v>15.641999999999999</v>
      </c>
      <c r="O19" s="12">
        <v>14.141</v>
      </c>
      <c r="P19" s="12">
        <v>1.5009999999999999</v>
      </c>
      <c r="Q19" s="12">
        <v>9.5959595959595969</v>
      </c>
      <c r="R19" s="12">
        <v>15.731821407132262</v>
      </c>
      <c r="S19" s="12">
        <v>14.064821407132262</v>
      </c>
      <c r="T19" s="12">
        <v>1.667</v>
      </c>
      <c r="U19" s="12">
        <v>10.596357261240202</v>
      </c>
      <c r="V19" s="13">
        <v>16.7</v>
      </c>
      <c r="W19" s="13">
        <v>14.8</v>
      </c>
      <c r="X19" s="13">
        <v>1.9000000000000001</v>
      </c>
      <c r="Y19" s="13">
        <v>11.200000000000001</v>
      </c>
      <c r="Z19" s="12">
        <f t="shared" si="1"/>
        <v>17.340198635542531</v>
      </c>
      <c r="AA19" s="12">
        <v>15.674198635542531</v>
      </c>
      <c r="AB19" s="12">
        <v>1.6659999999999999</v>
      </c>
      <c r="AC19" s="14">
        <v>9.6077330774352756</v>
      </c>
      <c r="AD19" s="12">
        <v>18.078012823913312</v>
      </c>
      <c r="AE19" s="12">
        <v>15.904999999999999</v>
      </c>
      <c r="AF19" s="12">
        <v>2.1730128239133117</v>
      </c>
      <c r="AG19" s="14">
        <v>12.02019738053778</v>
      </c>
      <c r="AH19" s="12">
        <v>15.9</v>
      </c>
      <c r="AI19" s="12">
        <v>14.8</v>
      </c>
      <c r="AJ19" s="12">
        <v>1.1000000000000001</v>
      </c>
      <c r="AK19" s="14">
        <v>6.9182389937106921</v>
      </c>
    </row>
    <row r="20" spans="1:37" ht="22.5" customHeight="1" x14ac:dyDescent="0.25">
      <c r="A20" s="11" t="s">
        <v>20</v>
      </c>
      <c r="B20" s="5">
        <v>91.5</v>
      </c>
      <c r="C20" s="5">
        <v>87</v>
      </c>
      <c r="D20" s="5">
        <v>4.5</v>
      </c>
      <c r="E20" s="5">
        <v>4.9493259864213321</v>
      </c>
      <c r="F20" s="5">
        <v>87</v>
      </c>
      <c r="G20" s="5">
        <v>82</v>
      </c>
      <c r="H20" s="5">
        <v>5</v>
      </c>
      <c r="I20" s="5">
        <v>5.6773881944364586</v>
      </c>
      <c r="J20" s="5">
        <v>85.894999999999996</v>
      </c>
      <c r="K20" s="5">
        <v>79.867999999999995</v>
      </c>
      <c r="L20" s="5">
        <v>6.0270000000000001</v>
      </c>
      <c r="M20" s="5">
        <v>7.0167064439140807</v>
      </c>
      <c r="N20" s="12">
        <v>81.457999999999998</v>
      </c>
      <c r="O20" s="12">
        <v>74.069999999999993</v>
      </c>
      <c r="P20" s="12">
        <v>7.3879999999999999</v>
      </c>
      <c r="Q20" s="12">
        <v>9.069704633062436</v>
      </c>
      <c r="R20" s="12">
        <v>77.376630180826297</v>
      </c>
      <c r="S20" s="12">
        <v>69.667159258231635</v>
      </c>
      <c r="T20" s="12">
        <v>7.7094709225946589</v>
      </c>
      <c r="U20" s="12">
        <v>9.9635651030264736</v>
      </c>
      <c r="V20" s="13">
        <v>80.600000000000009</v>
      </c>
      <c r="W20" s="13">
        <v>72.2</v>
      </c>
      <c r="X20" s="13">
        <v>8.4</v>
      </c>
      <c r="Y20" s="13">
        <v>10.5</v>
      </c>
      <c r="Z20" s="12">
        <f t="shared" si="1"/>
        <v>77.940037951098233</v>
      </c>
      <c r="AA20" s="12">
        <v>70.909037951098227</v>
      </c>
      <c r="AB20" s="12">
        <v>7.0309999999999997</v>
      </c>
      <c r="AC20" s="14">
        <v>9.021037434458842</v>
      </c>
      <c r="AD20" s="12">
        <v>81.484974357305177</v>
      </c>
      <c r="AE20" s="12">
        <v>74.052999999999997</v>
      </c>
      <c r="AF20" s="12">
        <v>7.4319743573051769</v>
      </c>
      <c r="AG20" s="14">
        <v>9.1206684617909506</v>
      </c>
      <c r="AH20" s="12">
        <v>75.8</v>
      </c>
      <c r="AI20" s="12">
        <v>71.5</v>
      </c>
      <c r="AJ20" s="12">
        <v>4.3</v>
      </c>
      <c r="AK20" s="14">
        <v>5.6728232189973617</v>
      </c>
    </row>
    <row r="21" spans="1:37" ht="22.5" customHeight="1" x14ac:dyDescent="0.25">
      <c r="A21" s="11" t="s">
        <v>21</v>
      </c>
      <c r="B21" s="5">
        <v>46.9</v>
      </c>
      <c r="C21" s="5">
        <v>44.4</v>
      </c>
      <c r="D21" s="5">
        <v>2.5</v>
      </c>
      <c r="E21" s="5">
        <v>5.3440967858740338</v>
      </c>
      <c r="F21" s="5">
        <v>45.300000000000004</v>
      </c>
      <c r="G21" s="5">
        <v>42.6</v>
      </c>
      <c r="H21" s="5">
        <v>2.7</v>
      </c>
      <c r="I21" s="5">
        <v>5.9260893546607827</v>
      </c>
      <c r="J21" s="5">
        <v>45.360999999999997</v>
      </c>
      <c r="K21" s="5">
        <v>42.106999999999999</v>
      </c>
      <c r="L21" s="5">
        <v>3.254</v>
      </c>
      <c r="M21" s="5">
        <v>7.1735631930512991</v>
      </c>
      <c r="N21" s="12">
        <v>43.96</v>
      </c>
      <c r="O21" s="12">
        <v>39.865000000000002</v>
      </c>
      <c r="P21" s="12">
        <v>4.0949999999999998</v>
      </c>
      <c r="Q21" s="12">
        <v>9.3152866242038215</v>
      </c>
      <c r="R21" s="12">
        <v>43.824248042024173</v>
      </c>
      <c r="S21" s="12">
        <v>39.29524804202417</v>
      </c>
      <c r="T21" s="12">
        <v>4.5289999999999999</v>
      </c>
      <c r="U21" s="12">
        <v>10.334461405149561</v>
      </c>
      <c r="V21" s="13">
        <v>45.6</v>
      </c>
      <c r="W21" s="13">
        <v>40.700000000000003</v>
      </c>
      <c r="X21" s="13">
        <v>4.9000000000000004</v>
      </c>
      <c r="Y21" s="13">
        <v>10.700000000000001</v>
      </c>
      <c r="Z21" s="12">
        <f t="shared" si="1"/>
        <v>46.619171177998794</v>
      </c>
      <c r="AA21" s="12">
        <v>42.253411105423474</v>
      </c>
      <c r="AB21" s="12">
        <v>4.3657600725753181</v>
      </c>
      <c r="AC21" s="14">
        <v>9.3647312087686192</v>
      </c>
      <c r="AD21" s="12">
        <v>51.006043260399998</v>
      </c>
      <c r="AE21" s="12">
        <v>46.036000000000001</v>
      </c>
      <c r="AF21" s="12">
        <v>4.9700432603999998</v>
      </c>
      <c r="AG21" s="14">
        <v>9.7440282419605655</v>
      </c>
      <c r="AH21" s="12">
        <v>73.400000000000006</v>
      </c>
      <c r="AI21" s="12">
        <v>68.7</v>
      </c>
      <c r="AJ21" s="12">
        <v>4.7</v>
      </c>
      <c r="AK21" s="14">
        <v>6.4032697547683926</v>
      </c>
    </row>
    <row r="22" spans="1:37" ht="22.5" customHeight="1" x14ac:dyDescent="0.25">
      <c r="A22" s="11" t="s">
        <v>22</v>
      </c>
      <c r="B22" s="5">
        <v>54.2</v>
      </c>
      <c r="C22" s="5">
        <v>51.4</v>
      </c>
      <c r="D22" s="5">
        <v>2.8</v>
      </c>
      <c r="E22" s="5">
        <v>5.2571365305482258</v>
      </c>
      <c r="F22" s="5">
        <v>46.20000000000001</v>
      </c>
      <c r="G22" s="5">
        <v>43.500000000000007</v>
      </c>
      <c r="H22" s="5">
        <v>2.7</v>
      </c>
      <c r="I22" s="5">
        <v>5.8879515466147527</v>
      </c>
      <c r="J22" s="5">
        <v>46.378</v>
      </c>
      <c r="K22" s="5">
        <v>43.014000000000003</v>
      </c>
      <c r="L22" s="5">
        <v>3.3639999999999999</v>
      </c>
      <c r="M22" s="5">
        <v>7.2534391306222776</v>
      </c>
      <c r="N22" s="12">
        <v>48.707000000000001</v>
      </c>
      <c r="O22" s="12">
        <v>44.170999999999999</v>
      </c>
      <c r="P22" s="12">
        <v>4.5359999999999996</v>
      </c>
      <c r="Q22" s="12">
        <v>9.3128297780606477</v>
      </c>
      <c r="R22" s="12">
        <v>47.415238855423084</v>
      </c>
      <c r="S22" s="12">
        <v>42.547827349329253</v>
      </c>
      <c r="T22" s="12">
        <v>4.8674115060938332</v>
      </c>
      <c r="U22" s="12">
        <v>10.265500340376596</v>
      </c>
      <c r="V22" s="13">
        <v>47.800000000000004</v>
      </c>
      <c r="W22" s="13">
        <v>42.800000000000004</v>
      </c>
      <c r="X22" s="13">
        <v>5</v>
      </c>
      <c r="Y22" s="13">
        <v>10.5</v>
      </c>
      <c r="Z22" s="12">
        <f t="shared" si="1"/>
        <v>50.486886586220614</v>
      </c>
      <c r="AA22" s="12">
        <v>45.889886586220612</v>
      </c>
      <c r="AB22" s="12">
        <v>4.5970000000000004</v>
      </c>
      <c r="AC22" s="14">
        <v>9.1053346934937753</v>
      </c>
      <c r="AD22" s="12">
        <v>48.30873550442395</v>
      </c>
      <c r="AE22" s="12">
        <v>43.646000000000001</v>
      </c>
      <c r="AF22" s="12">
        <v>4.6627355044239485</v>
      </c>
      <c r="AG22" s="14">
        <v>9.651951051372377</v>
      </c>
      <c r="AH22" s="12">
        <v>43</v>
      </c>
      <c r="AI22" s="12">
        <v>40.5</v>
      </c>
      <c r="AJ22" s="12">
        <v>2.5</v>
      </c>
      <c r="AK22" s="14">
        <v>5.8139534883720927</v>
      </c>
    </row>
    <row r="23" spans="1:37" ht="22.5" customHeight="1" x14ac:dyDescent="0.25">
      <c r="A23" s="11" t="s">
        <v>23</v>
      </c>
      <c r="B23" s="5">
        <v>27.2</v>
      </c>
      <c r="C23" s="5">
        <v>25.7</v>
      </c>
      <c r="D23" s="5">
        <v>1.5</v>
      </c>
      <c r="E23" s="5">
        <v>5.3465492464718674</v>
      </c>
      <c r="F23" s="5">
        <v>24.6</v>
      </c>
      <c r="G23" s="5">
        <v>23.1</v>
      </c>
      <c r="H23" s="5">
        <v>1.5</v>
      </c>
      <c r="I23" s="5">
        <v>6.2101458104869822</v>
      </c>
      <c r="J23" s="5">
        <v>21.693999999999999</v>
      </c>
      <c r="K23" s="5">
        <v>19.966000000000001</v>
      </c>
      <c r="L23" s="5">
        <v>1.728</v>
      </c>
      <c r="M23" s="5">
        <v>7.9653360376140876</v>
      </c>
      <c r="N23" s="12">
        <v>22.082000000000001</v>
      </c>
      <c r="O23" s="12">
        <v>20.004000000000001</v>
      </c>
      <c r="P23" s="12">
        <v>2.0779999999999998</v>
      </c>
      <c r="Q23" s="12">
        <v>9.4103794946109964</v>
      </c>
      <c r="R23" s="12">
        <v>21.857432142863573</v>
      </c>
      <c r="S23" s="12">
        <v>19.574432142863575</v>
      </c>
      <c r="T23" s="12">
        <v>2.2829999999999999</v>
      </c>
      <c r="U23" s="12">
        <v>10.444959797097651</v>
      </c>
      <c r="V23" s="13">
        <v>21.299999999999997</v>
      </c>
      <c r="W23" s="13">
        <v>18.899999999999999</v>
      </c>
      <c r="X23" s="13">
        <v>2.4</v>
      </c>
      <c r="Y23" s="13">
        <v>11</v>
      </c>
      <c r="Z23" s="12">
        <f t="shared" si="1"/>
        <v>21.620629440702288</v>
      </c>
      <c r="AA23" s="12">
        <v>19.619629440702287</v>
      </c>
      <c r="AB23" s="12">
        <v>2.0009999999999999</v>
      </c>
      <c r="AC23" s="14">
        <v>9.2550496991220008</v>
      </c>
      <c r="AD23" s="12">
        <v>23.065753398000002</v>
      </c>
      <c r="AE23" s="12">
        <v>20.271999999999998</v>
      </c>
      <c r="AF23" s="12">
        <v>2.7937533979999998</v>
      </c>
      <c r="AG23" s="14">
        <v>12.112127229463237</v>
      </c>
      <c r="AH23" s="12">
        <v>21.3</v>
      </c>
      <c r="AI23" s="12">
        <v>20.100000000000001</v>
      </c>
      <c r="AJ23" s="12">
        <v>1.2</v>
      </c>
      <c r="AK23" s="14">
        <v>5.6338028169014081</v>
      </c>
    </row>
    <row r="24" spans="1:37" ht="22.5" customHeight="1" x14ac:dyDescent="0.25">
      <c r="A24" s="11" t="s">
        <v>24</v>
      </c>
      <c r="B24" s="5">
        <v>73.5</v>
      </c>
      <c r="C24" s="5">
        <v>69.900000000000006</v>
      </c>
      <c r="D24" s="5">
        <v>3.6</v>
      </c>
      <c r="E24" s="5">
        <v>4.8467443379790938</v>
      </c>
      <c r="F24" s="5">
        <v>69.199999999999989</v>
      </c>
      <c r="G24" s="5">
        <v>65.199999999999989</v>
      </c>
      <c r="H24" s="5">
        <v>4</v>
      </c>
      <c r="I24" s="5">
        <v>5.7565385670753724</v>
      </c>
      <c r="J24" s="5">
        <v>70.483000000000004</v>
      </c>
      <c r="K24" s="5">
        <v>65.466999999999999</v>
      </c>
      <c r="L24" s="5">
        <v>5.016</v>
      </c>
      <c r="M24" s="5">
        <v>7.1166096789296711</v>
      </c>
      <c r="N24" s="12">
        <v>70.204999999999998</v>
      </c>
      <c r="O24" s="12">
        <v>63.841000000000001</v>
      </c>
      <c r="P24" s="12">
        <v>6.3639999999999999</v>
      </c>
      <c r="Q24" s="12">
        <v>9.0648814187023721</v>
      </c>
      <c r="R24" s="12">
        <v>65.362610175284772</v>
      </c>
      <c r="S24" s="12">
        <v>58.818610175284775</v>
      </c>
      <c r="T24" s="12">
        <v>6.5439999999999996</v>
      </c>
      <c r="U24" s="12">
        <v>10.011840075619331</v>
      </c>
      <c r="V24" s="13">
        <v>65.8</v>
      </c>
      <c r="W24" s="13">
        <v>58.9</v>
      </c>
      <c r="X24" s="13">
        <v>6.9</v>
      </c>
      <c r="Y24" s="13">
        <v>10.4</v>
      </c>
      <c r="Z24" s="12">
        <f t="shared" si="1"/>
        <v>65.989335939761432</v>
      </c>
      <c r="AA24" s="12">
        <v>60.063335939761437</v>
      </c>
      <c r="AB24" s="12">
        <v>5.9260000000000002</v>
      </c>
      <c r="AC24" s="14">
        <v>8.9802388758837761</v>
      </c>
      <c r="AD24" s="12">
        <v>66.359078854318128</v>
      </c>
      <c r="AE24" s="12">
        <v>60.292000000000002</v>
      </c>
      <c r="AF24" s="12">
        <v>6.0670788543181313</v>
      </c>
      <c r="AG24" s="14">
        <v>9.1428014961412227</v>
      </c>
      <c r="AH24" s="12">
        <v>54.9</v>
      </c>
      <c r="AI24" s="12">
        <v>51.6</v>
      </c>
      <c r="AJ24" s="12">
        <v>3.3</v>
      </c>
      <c r="AK24" s="14">
        <v>6.0109289617486334</v>
      </c>
    </row>
  </sheetData>
  <mergeCells count="38">
    <mergeCell ref="AI4:AJ4"/>
    <mergeCell ref="AK4:AK5"/>
    <mergeCell ref="F3:I3"/>
    <mergeCell ref="J3:M3"/>
    <mergeCell ref="N3:Q3"/>
    <mergeCell ref="R3:U3"/>
    <mergeCell ref="V3:Y3"/>
    <mergeCell ref="Z3:AC3"/>
    <mergeCell ref="AD3:AG3"/>
    <mergeCell ref="AH3:AK3"/>
    <mergeCell ref="AA4:AB4"/>
    <mergeCell ref="AC4:AC5"/>
    <mergeCell ref="AD4:AD5"/>
    <mergeCell ref="AE4:AF4"/>
    <mergeCell ref="AG4:AG5"/>
    <mergeCell ref="AH4:AH5"/>
    <mergeCell ref="A3:A5"/>
    <mergeCell ref="Z4:Z5"/>
    <mergeCell ref="K4:L4"/>
    <mergeCell ref="M4:M5"/>
    <mergeCell ref="N4:N5"/>
    <mergeCell ref="O4:P4"/>
    <mergeCell ref="Q4:Q5"/>
    <mergeCell ref="R4:R5"/>
    <mergeCell ref="S4:T4"/>
    <mergeCell ref="U4:U5"/>
    <mergeCell ref="V4:V5"/>
    <mergeCell ref="W4:X4"/>
    <mergeCell ref="Y4:Y5"/>
    <mergeCell ref="B3:E3"/>
    <mergeCell ref="B4:B5"/>
    <mergeCell ref="B1:M1"/>
    <mergeCell ref="C4:D4"/>
    <mergeCell ref="F4:F5"/>
    <mergeCell ref="G4:H4"/>
    <mergeCell ref="I4:I5"/>
    <mergeCell ref="J4:J5"/>
    <mergeCell ref="E4:E5"/>
  </mergeCells>
  <conditionalFormatting sqref="U6 Q6 Y6:Y24 AC6:AC10 AC12:AC24 AG6:AG10 AG12:AG24 AK6:AK10 AK12:AK17 AK19:AK24">
    <cfRule type="cellIs" dxfId="1" priority="2" stopIfTrue="1" operator="lessThan">
      <formula>0</formula>
    </cfRule>
  </conditionalFormatting>
  <conditionalFormatting sqref="U6 Q6 Y6:Y24 AC6:AC10 AC12:AC24 AG6:AG10 AG12:AG24 AK6:AK10 AK12:AK17 AK19:AK24">
    <cfRule type="cellIs" dxfId="0" priority="1" stopIfTrue="1" operator="equal">
      <formula>0</formula>
    </cfRule>
  </conditionalFormatting>
  <printOptions horizontalCentered="1"/>
  <pageMargins left="0.19685039370078741" right="0.19685039370078741" top="0.55118110236220474" bottom="0.27559055118110237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1735</vt:lpstr>
      <vt:lpstr>'1735'!Заголовки_для_печати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2026-04-27T10:13:36Z</dcterms:modified>
</cp:coreProperties>
</file>