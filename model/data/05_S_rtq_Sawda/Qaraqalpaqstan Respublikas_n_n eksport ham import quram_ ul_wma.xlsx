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A90F733-AA21-42EC-9995-CE3EB86B0CA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qq" sheetId="6" r:id="rId1"/>
  </sheets>
  <definedNames>
    <definedName name="_xlnm.Print_Area" localSheetId="0">qq!$A$1:$R$28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6" l="1"/>
  <c r="Q8" i="6"/>
  <c r="K18" i="6" l="1"/>
  <c r="L18" i="6"/>
  <c r="M18" i="6"/>
  <c r="N18" i="6"/>
  <c r="O18" i="6"/>
  <c r="P18" i="6"/>
  <c r="J8" i="6"/>
  <c r="K8" i="6"/>
  <c r="L8" i="6"/>
  <c r="M8" i="6"/>
  <c r="N8" i="6"/>
  <c r="O8" i="6"/>
  <c r="P8" i="6"/>
  <c r="K7" i="6"/>
  <c r="L7" i="6"/>
  <c r="M7" i="6"/>
  <c r="N7" i="6"/>
  <c r="O7" i="6"/>
  <c r="B7" i="6" l="1"/>
  <c r="C18" i="6" l="1"/>
  <c r="D18" i="6"/>
  <c r="E18" i="6"/>
  <c r="F18" i="6"/>
  <c r="G18" i="6"/>
  <c r="H18" i="6"/>
  <c r="I18" i="6"/>
  <c r="J18" i="6"/>
  <c r="B18" i="6"/>
  <c r="C8" i="6"/>
  <c r="D8" i="6"/>
  <c r="E8" i="6"/>
  <c r="F8" i="6"/>
  <c r="G8" i="6"/>
  <c r="H8" i="6"/>
  <c r="I8" i="6"/>
  <c r="B8" i="6"/>
  <c r="C7" i="6" l="1"/>
  <c r="C5" i="6" s="1"/>
  <c r="D7" i="6"/>
  <c r="D5" i="6" s="1"/>
  <c r="E7" i="6"/>
  <c r="E5" i="6" s="1"/>
  <c r="F7" i="6"/>
  <c r="F5" i="6" s="1"/>
  <c r="G7" i="6"/>
  <c r="G5" i="6" s="1"/>
  <c r="H7" i="6"/>
  <c r="H5" i="6" s="1"/>
  <c r="I7" i="6"/>
  <c r="I5" i="6" s="1"/>
  <c r="J7" i="6"/>
  <c r="J5" i="6" s="1"/>
  <c r="K5" i="6"/>
  <c r="L5" i="6"/>
  <c r="B5" i="6"/>
</calcChain>
</file>

<file path=xl/sharedStrings.xml><?xml version="1.0" encoding="utf-8"?>
<sst xmlns="http://schemas.openxmlformats.org/spreadsheetml/2006/main" count="42" uniqueCount="34">
  <si>
    <t>import</t>
  </si>
  <si>
    <t>eksport</t>
  </si>
  <si>
    <t>6-jadval</t>
  </si>
  <si>
    <t>Qaraqalpaqstan Respublikasınıń eksport hám import quramı (ulıwma kólemge salıstırǵanda, prosentte)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</si>
  <si>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</si>
  <si>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</si>
  <si>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</si>
  <si>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</si>
  <si>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</si>
  <si>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</si>
  <si>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</si>
  <si>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</si>
  <si>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</si>
  <si>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</si>
  <si>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</si>
  <si>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Sırtqı sawda aylanısı</t>
  </si>
  <si>
    <t>Eksport quramı</t>
  </si>
  <si>
    <t xml:space="preserve">     sonnan:</t>
  </si>
  <si>
    <t>Import quramı</t>
  </si>
  <si>
    <t>azıq-awqat ónimleri</t>
  </si>
  <si>
    <t>paxta</t>
  </si>
  <si>
    <t>ximiyalıq ónimler hám buyımlar</t>
  </si>
  <si>
    <t>energiya derekleri hám neft ónimleri</t>
  </si>
  <si>
    <t>qara hám reńli metallar</t>
  </si>
  <si>
    <t>mashina hám ásbap-úskeneler</t>
  </si>
  <si>
    <t>xızmetler</t>
  </si>
  <si>
    <t>basqalar</t>
  </si>
  <si>
    <t xml:space="preserve">    sonnan:</t>
  </si>
  <si>
    <t>2021 j.</t>
  </si>
  <si>
    <t>2022 j.</t>
  </si>
  <si>
    <t>*) dáslepki maǵliwmatlar</t>
  </si>
  <si>
    <t>2023 j.</t>
  </si>
  <si>
    <t>yanvar-dekabr
2025 j. *)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</si>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</sst>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horizontal="left" vertical="center" wrapText="1" indent="1"/>
    </xf>
    <xf numFmtId="0" fontId="4" fillId="0" borderId="0" xfId="0" applyFont="1" applyAlignment="1">
      <alignment horizontal="left" wrapText="1" inden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Normal 2 2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view="pageBreakPreview" zoomScale="85" zoomScaleNormal="85" zoomScaleSheetLayoutView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6" sqref="T6"/>
    </sheetView>
  </sheetViews>
  <sheetFormatPr defaultColWidth="19" defaultRowHeight="13.8" x14ac:dyDescent="0.25"/>
  <cols>
    <col min="1" max="1" width="38.5546875" style="3" customWidth="1"/>
    <col min="2" max="15" width="8.6640625" style="1" customWidth="1"/>
    <col min="16" max="16" width="8.88671875" style="1" customWidth="1"/>
    <col min="17" max="17" width="10" style="1" customWidth="1"/>
    <col min="18" max="18" width="9.33203125" style="1" customWidth="1"/>
    <col min="19" max="16384" width="19" style="1"/>
  </cols>
  <sheetData>
    <row r="1" spans="1:18" x14ac:dyDescent="0.25">
      <c r="N1" s="5"/>
      <c r="P1" s="20" t="s">
        <v>2</v>
      </c>
      <c r="Q1" s="20"/>
    </row>
    <row r="2" spans="1:18" ht="24.75" customHeight="1" x14ac:dyDescent="0.25">
      <c r="A2" s="19" t="s">
        <v>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12.75" customHeight="1" x14ac:dyDescent="0.25">
      <c r="B3" s="2"/>
      <c r="C3" s="2"/>
      <c r="D3" s="2"/>
      <c r="E3" s="2"/>
      <c r="F3" s="2"/>
    </row>
    <row r="4" spans="1:18" ht="56.25" customHeight="1" x14ac:dyDescent="0.25">
      <c r="A4" s="4"/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28</v>
      </c>
      <c r="N4" s="11" t="s">
        <v>29</v>
      </c>
      <c r="O4" s="11" t="s">
        <v>31</v>
      </c>
      <c r="P4" s="11" t="s">
        <v>31</v>
      </c>
      <c r="Q4" s="11" t="s">
        <v>32</v>
      </c>
      <c r="R4" s="11" t="s">
        <v>33</v>
      </c>
    </row>
    <row r="5" spans="1:18" ht="24.75" customHeight="1" x14ac:dyDescent="0.25">
      <c r="A5" s="12" t="s">
        <v>15</v>
      </c>
      <c r="B5" s="6">
        <f>+B6+B7</f>
        <v>100</v>
      </c>
      <c r="C5" s="6">
        <f t="shared" ref="C5:L5" si="0">+C6+C7</f>
        <v>100</v>
      </c>
      <c r="D5" s="6">
        <f t="shared" si="0"/>
        <v>100</v>
      </c>
      <c r="E5" s="6">
        <f t="shared" si="0"/>
        <v>100</v>
      </c>
      <c r="F5" s="6">
        <f t="shared" si="0"/>
        <v>100</v>
      </c>
      <c r="G5" s="6">
        <f t="shared" si="0"/>
        <v>100</v>
      </c>
      <c r="H5" s="6">
        <f t="shared" si="0"/>
        <v>100</v>
      </c>
      <c r="I5" s="6">
        <f t="shared" si="0"/>
        <v>100</v>
      </c>
      <c r="J5" s="6">
        <f t="shared" si="0"/>
        <v>100</v>
      </c>
      <c r="K5" s="6">
        <f t="shared" si="0"/>
        <v>100</v>
      </c>
      <c r="L5" s="6">
        <f t="shared" si="0"/>
        <v>100</v>
      </c>
      <c r="M5" s="6">
        <v>100</v>
      </c>
      <c r="N5" s="6">
        <v>100</v>
      </c>
      <c r="O5" s="6">
        <v>100</v>
      </c>
      <c r="P5" s="6">
        <v>100</v>
      </c>
      <c r="Q5" s="6">
        <v>100</v>
      </c>
      <c r="R5" s="6">
        <v>100</v>
      </c>
    </row>
    <row r="6" spans="1:18" ht="24.75" customHeight="1" x14ac:dyDescent="0.25">
      <c r="A6" s="13" t="s">
        <v>1</v>
      </c>
      <c r="B6" s="7">
        <v>77.837560434669172</v>
      </c>
      <c r="C6" s="7">
        <v>67.014412792928368</v>
      </c>
      <c r="D6" s="7">
        <v>47.443638169216648</v>
      </c>
      <c r="E6" s="7">
        <v>48.987882246890393</v>
      </c>
      <c r="F6" s="7">
        <v>33.302917989607195</v>
      </c>
      <c r="G6" s="7">
        <v>33.338611055897481</v>
      </c>
      <c r="H6" s="7">
        <v>68.156358080759219</v>
      </c>
      <c r="I6" s="7">
        <v>72.131420869906549</v>
      </c>
      <c r="J6" s="7">
        <v>61.698762929784969</v>
      </c>
      <c r="K6" s="7">
        <v>61.586613664498167</v>
      </c>
      <c r="L6" s="7">
        <v>67.290258313638347</v>
      </c>
      <c r="M6" s="7">
        <v>64.099999999999994</v>
      </c>
      <c r="N6" s="7">
        <v>58.9</v>
      </c>
      <c r="O6" s="7">
        <v>61.002820321513781</v>
      </c>
      <c r="P6" s="7">
        <v>59.324974558617782</v>
      </c>
      <c r="Q6" s="7">
        <v>53.670911542634727</v>
      </c>
      <c r="R6" s="7">
        <v>48.412833852942768</v>
      </c>
    </row>
    <row r="7" spans="1:18" ht="24.75" customHeight="1" x14ac:dyDescent="0.25">
      <c r="A7" s="13" t="s">
        <v>0</v>
      </c>
      <c r="B7" s="7">
        <f>100-B6</f>
        <v>22.162439565330828</v>
      </c>
      <c r="C7" s="7">
        <f t="shared" ref="C7:O7" si="1">100-C6</f>
        <v>32.985587207071632</v>
      </c>
      <c r="D7" s="7">
        <f t="shared" si="1"/>
        <v>52.556361830783352</v>
      </c>
      <c r="E7" s="7">
        <f t="shared" si="1"/>
        <v>51.012117753109607</v>
      </c>
      <c r="F7" s="7">
        <f t="shared" si="1"/>
        <v>66.697082010392805</v>
      </c>
      <c r="G7" s="7">
        <f t="shared" si="1"/>
        <v>66.661388944102526</v>
      </c>
      <c r="H7" s="7">
        <f t="shared" si="1"/>
        <v>31.843641919240781</v>
      </c>
      <c r="I7" s="7">
        <f t="shared" si="1"/>
        <v>27.868579130093451</v>
      </c>
      <c r="J7" s="7">
        <f t="shared" si="1"/>
        <v>38.301237070215031</v>
      </c>
      <c r="K7" s="7">
        <f t="shared" si="1"/>
        <v>38.413386335501833</v>
      </c>
      <c r="L7" s="7">
        <f t="shared" si="1"/>
        <v>32.709741686361653</v>
      </c>
      <c r="M7" s="7">
        <f t="shared" si="1"/>
        <v>35.900000000000006</v>
      </c>
      <c r="N7" s="7">
        <f t="shared" si="1"/>
        <v>41.1</v>
      </c>
      <c r="O7" s="7">
        <f t="shared" si="1"/>
        <v>38.997179678486219</v>
      </c>
      <c r="P7" s="7">
        <v>40.675025441382253</v>
      </c>
      <c r="Q7" s="7">
        <v>46.329088457365266</v>
      </c>
      <c r="R7" s="7">
        <v>51.587166147057239</v>
      </c>
    </row>
    <row r="8" spans="1:18" ht="29.25" customHeight="1" x14ac:dyDescent="0.25">
      <c r="A8" s="12" t="s">
        <v>16</v>
      </c>
      <c r="B8" s="6">
        <f>SUM(B10:B17)</f>
        <v>100</v>
      </c>
      <c r="C8" s="6">
        <f t="shared" ref="C8:P8" si="2">SUM(C10:C17)</f>
        <v>100</v>
      </c>
      <c r="D8" s="6">
        <f t="shared" si="2"/>
        <v>100</v>
      </c>
      <c r="E8" s="6">
        <f t="shared" si="2"/>
        <v>100.00000000000001</v>
      </c>
      <c r="F8" s="6">
        <f t="shared" si="2"/>
        <v>99.999999999999986</v>
      </c>
      <c r="G8" s="6">
        <f t="shared" si="2"/>
        <v>99.999999999999986</v>
      </c>
      <c r="H8" s="6">
        <f t="shared" si="2"/>
        <v>99.999999999999986</v>
      </c>
      <c r="I8" s="6">
        <f t="shared" si="2"/>
        <v>99.999999999999986</v>
      </c>
      <c r="J8" s="6">
        <f t="shared" si="2"/>
        <v>100</v>
      </c>
      <c r="K8" s="6">
        <f t="shared" si="2"/>
        <v>99.999999999999986</v>
      </c>
      <c r="L8" s="6">
        <f t="shared" si="2"/>
        <v>100</v>
      </c>
      <c r="M8" s="6">
        <f t="shared" si="2"/>
        <v>100</v>
      </c>
      <c r="N8" s="6">
        <f t="shared" si="2"/>
        <v>99.999999999999972</v>
      </c>
      <c r="O8" s="6">
        <f t="shared" si="2"/>
        <v>99.99954267508717</v>
      </c>
      <c r="P8" s="6">
        <f t="shared" si="2"/>
        <v>100</v>
      </c>
      <c r="Q8" s="6">
        <f t="shared" ref="Q8" si="3">SUM(Q10:Q17)</f>
        <v>100.00000000000001</v>
      </c>
      <c r="R8" s="6">
        <v>100</v>
      </c>
    </row>
    <row r="9" spans="1:18" ht="21" customHeight="1" x14ac:dyDescent="0.25">
      <c r="A9" s="14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"/>
      <c r="P9" s="15"/>
      <c r="Q9" s="15"/>
      <c r="R9" s="15"/>
    </row>
    <row r="10" spans="1:18" ht="21" customHeight="1" x14ac:dyDescent="0.25">
      <c r="A10" s="10" t="s">
        <v>20</v>
      </c>
      <c r="B10" s="7">
        <v>71.754601067949849</v>
      </c>
      <c r="C10" s="7">
        <v>77.37412377046202</v>
      </c>
      <c r="D10" s="7">
        <v>83.061742892873895</v>
      </c>
      <c r="E10" s="7">
        <v>69.438370135913317</v>
      </c>
      <c r="F10" s="7">
        <v>64.295337108030083</v>
      </c>
      <c r="G10" s="7">
        <v>49.925574316135254</v>
      </c>
      <c r="H10" s="7">
        <v>6.408072272444687</v>
      </c>
      <c r="I10" s="7">
        <v>2.0331971907145459</v>
      </c>
      <c r="J10" s="7">
        <v>0</v>
      </c>
      <c r="K10" s="7">
        <v>1.484199892898076</v>
      </c>
      <c r="L10" s="7">
        <v>1.8653901845001579</v>
      </c>
      <c r="M10" s="7">
        <v>2.9</v>
      </c>
      <c r="N10" s="7">
        <v>0</v>
      </c>
      <c r="O10" s="7"/>
      <c r="P10" s="7">
        <v>0</v>
      </c>
      <c r="Q10" s="7">
        <v>0</v>
      </c>
      <c r="R10" s="7"/>
    </row>
    <row r="11" spans="1:18" ht="21" customHeight="1" x14ac:dyDescent="0.25">
      <c r="A11" s="10" t="s">
        <v>19</v>
      </c>
      <c r="B11" s="7">
        <v>4.4989319911420722</v>
      </c>
      <c r="C11" s="7">
        <v>8.5965628093863398</v>
      </c>
      <c r="D11" s="7">
        <v>7.9478651017342559</v>
      </c>
      <c r="E11" s="7">
        <v>5.8560124614773637</v>
      </c>
      <c r="F11" s="7">
        <v>10.294327097678002</v>
      </c>
      <c r="G11" s="7">
        <v>14.91204156196417</v>
      </c>
      <c r="H11" s="7">
        <v>6.2111243005411012</v>
      </c>
      <c r="I11" s="7">
        <v>5.6432848782854483</v>
      </c>
      <c r="J11" s="7">
        <v>6.7163305661357438</v>
      </c>
      <c r="K11" s="7">
        <v>9.432133349676036</v>
      </c>
      <c r="L11" s="7">
        <v>13.303374685061922</v>
      </c>
      <c r="M11" s="7">
        <v>11.4</v>
      </c>
      <c r="N11" s="7">
        <v>11.327260228630367</v>
      </c>
      <c r="O11" s="7">
        <v>12.886170269605504</v>
      </c>
      <c r="P11" s="7">
        <v>1.8398007760732762</v>
      </c>
      <c r="Q11" s="7">
        <v>2.1454532169560054</v>
      </c>
      <c r="R11" s="7">
        <v>5.4413107863026502</v>
      </c>
    </row>
    <row r="12" spans="1:18" ht="33" customHeight="1" x14ac:dyDescent="0.25">
      <c r="A12" s="10" t="s">
        <v>21</v>
      </c>
      <c r="B12" s="7">
        <v>6.8193338752720418</v>
      </c>
      <c r="C12" s="7">
        <v>3.4670723448642788</v>
      </c>
      <c r="D12" s="7">
        <v>2.5120108404366369E-2</v>
      </c>
      <c r="E12" s="7">
        <v>5.1671628543285761</v>
      </c>
      <c r="F12" s="7">
        <v>9.2393763374649502</v>
      </c>
      <c r="G12" s="7">
        <v>16.167493847873615</v>
      </c>
      <c r="H12" s="7">
        <v>83.951239442955924</v>
      </c>
      <c r="I12" s="7">
        <v>86.480428257438007</v>
      </c>
      <c r="J12" s="7">
        <v>87.612055544774464</v>
      </c>
      <c r="K12" s="7">
        <v>78.238870295123689</v>
      </c>
      <c r="L12" s="7">
        <v>69.982871937035469</v>
      </c>
      <c r="M12" s="7">
        <v>68.3</v>
      </c>
      <c r="N12" s="7">
        <v>72.026722033830126</v>
      </c>
      <c r="O12" s="7">
        <v>64.523800415792323</v>
      </c>
      <c r="P12" s="7">
        <v>15.978397723774936</v>
      </c>
      <c r="Q12" s="7">
        <v>13.668462160667829</v>
      </c>
      <c r="R12" s="7">
        <v>8.6218384578371197</v>
      </c>
    </row>
    <row r="13" spans="1:18" ht="21" customHeight="1" x14ac:dyDescent="0.25">
      <c r="A13" s="10" t="s">
        <v>22</v>
      </c>
      <c r="B13" s="7">
        <v>1.6254284738073961</v>
      </c>
      <c r="C13" s="7">
        <v>2.1079004222057272</v>
      </c>
      <c r="D13" s="7">
        <v>8.9815177367280855E-2</v>
      </c>
      <c r="E13" s="7">
        <v>0</v>
      </c>
      <c r="F13" s="7">
        <v>0</v>
      </c>
      <c r="G13" s="7">
        <v>0</v>
      </c>
      <c r="H13" s="7">
        <v>0.50829799779678664</v>
      </c>
      <c r="I13" s="7">
        <v>2.4989243016002223</v>
      </c>
      <c r="J13" s="7">
        <v>2.0281396103508116</v>
      </c>
      <c r="K13" s="7">
        <v>0.64990160323605872</v>
      </c>
      <c r="L13" s="7">
        <v>0.49875835093492421</v>
      </c>
      <c r="M13" s="7">
        <v>0.3</v>
      </c>
      <c r="N13" s="7">
        <v>3.5210726184309003E-2</v>
      </c>
      <c r="O13" s="7">
        <v>0.9070759369794188</v>
      </c>
      <c r="P13" s="7">
        <v>1.0971564763960475</v>
      </c>
      <c r="Q13" s="7">
        <v>0.23351325552539104</v>
      </c>
      <c r="R13" s="7">
        <v>0.24234224735996085</v>
      </c>
    </row>
    <row r="14" spans="1:18" ht="21" customHeight="1" x14ac:dyDescent="0.25">
      <c r="A14" s="10" t="s">
        <v>23</v>
      </c>
      <c r="B14" s="7">
        <v>2.5075636425777436E-2</v>
      </c>
      <c r="C14" s="7">
        <v>5.2828049088573456E-3</v>
      </c>
      <c r="D14" s="7">
        <v>1.5978585507247289E-2</v>
      </c>
      <c r="E14" s="7">
        <v>1.0606012539548794E-2</v>
      </c>
      <c r="F14" s="7">
        <v>8.0926202199374415E-3</v>
      </c>
      <c r="G14" s="7">
        <v>4.6789578981646866E-2</v>
      </c>
      <c r="H14" s="7">
        <v>2.9812410148311285E-4</v>
      </c>
      <c r="I14" s="7">
        <v>0</v>
      </c>
      <c r="J14" s="7">
        <v>0</v>
      </c>
      <c r="K14" s="7">
        <v>7.1680451814035259E-4</v>
      </c>
      <c r="L14" s="7">
        <v>3.9686952978277863E-3</v>
      </c>
      <c r="M14" s="7">
        <v>0</v>
      </c>
      <c r="N14" s="7">
        <v>5.1161078005150094E-2</v>
      </c>
      <c r="O14" s="7"/>
      <c r="P14" s="7">
        <v>0.27317442147806986</v>
      </c>
      <c r="Q14" s="7">
        <v>0.27961595385906812</v>
      </c>
      <c r="R14" s="7">
        <v>0.83322923903026169</v>
      </c>
    </row>
    <row r="15" spans="1:18" ht="21" customHeight="1" x14ac:dyDescent="0.25">
      <c r="A15" s="10" t="s">
        <v>24</v>
      </c>
      <c r="B15" s="7">
        <v>0.31296014011589263</v>
      </c>
      <c r="C15" s="7">
        <v>3.3117201798843983E-2</v>
      </c>
      <c r="D15" s="7">
        <v>2.7315793253372137E-2</v>
      </c>
      <c r="E15" s="7">
        <v>9.0000465403532199E-3</v>
      </c>
      <c r="F15" s="7">
        <v>1.8814252510856663E-2</v>
      </c>
      <c r="G15" s="7">
        <v>1.9649903699561502E-2</v>
      </c>
      <c r="H15" s="7">
        <v>0.34130003537229836</v>
      </c>
      <c r="I15" s="7">
        <v>2.6845411864184899E-3</v>
      </c>
      <c r="J15" s="7">
        <v>2.6862711200014863E-2</v>
      </c>
      <c r="K15" s="7">
        <v>0.99917075205260864</v>
      </c>
      <c r="L15" s="7">
        <v>0.17569817184256531</v>
      </c>
      <c r="M15" s="7">
        <v>1.5</v>
      </c>
      <c r="N15" s="7">
        <v>0.26782016529201252</v>
      </c>
      <c r="O15" s="7">
        <v>6.9932422570876326E-2</v>
      </c>
      <c r="P15" s="7">
        <v>1.0809276974390609</v>
      </c>
      <c r="Q15" s="7">
        <v>2.1272181731881998</v>
      </c>
      <c r="R15" s="7">
        <v>2.9618065678107053</v>
      </c>
    </row>
    <row r="16" spans="1:18" ht="21" customHeight="1" x14ac:dyDescent="0.25">
      <c r="A16" s="16" t="s">
        <v>25</v>
      </c>
      <c r="B16" s="7">
        <v>10.179317558913757</v>
      </c>
      <c r="C16" s="7">
        <v>3.459945789203823</v>
      </c>
      <c r="D16" s="7">
        <v>4.0405309268283958</v>
      </c>
      <c r="E16" s="7">
        <v>11.910645261125982</v>
      </c>
      <c r="F16" s="7">
        <v>6.1886783094315874</v>
      </c>
      <c r="G16" s="7">
        <v>4.7484408475783226</v>
      </c>
      <c r="H16" s="7">
        <v>0.6973500699954932</v>
      </c>
      <c r="I16" s="7">
        <v>0.51714044287786087</v>
      </c>
      <c r="J16" s="7">
        <v>0.56988702608182273</v>
      </c>
      <c r="K16" s="7">
        <v>0.60822805442821659</v>
      </c>
      <c r="L16" s="7">
        <v>0.69874274698509609</v>
      </c>
      <c r="M16" s="7">
        <v>0.7</v>
      </c>
      <c r="N16" s="7">
        <v>1.2213126888984838</v>
      </c>
      <c r="O16" s="7">
        <v>2.1586259244381987</v>
      </c>
      <c r="P16" s="7">
        <v>1.0162390017694287</v>
      </c>
      <c r="Q16" s="7">
        <v>18.183806909308998</v>
      </c>
      <c r="R16" s="7">
        <v>13.853509958404192</v>
      </c>
    </row>
    <row r="17" spans="1:18" ht="21" customHeight="1" x14ac:dyDescent="0.25">
      <c r="A17" s="16" t="s">
        <v>26</v>
      </c>
      <c r="B17" s="7">
        <v>4.7843512563732222</v>
      </c>
      <c r="C17" s="7">
        <v>4.9559948571700989</v>
      </c>
      <c r="D17" s="7">
        <v>4.7916314140311806</v>
      </c>
      <c r="E17" s="7">
        <v>7.6082032280748653</v>
      </c>
      <c r="F17" s="7">
        <v>9.9553742746645764</v>
      </c>
      <c r="G17" s="7">
        <v>14.180009943767411</v>
      </c>
      <c r="H17" s="7">
        <v>1.8823177567922214</v>
      </c>
      <c r="I17" s="7">
        <v>2.8243403878974975</v>
      </c>
      <c r="J17" s="7">
        <v>3.0467245414571469</v>
      </c>
      <c r="K17" s="7">
        <v>8.5867792480671703</v>
      </c>
      <c r="L17" s="7">
        <v>13.471195228342037</v>
      </c>
      <c r="M17" s="7">
        <v>14.9</v>
      </c>
      <c r="N17" s="7">
        <v>15.070513079159545</v>
      </c>
      <c r="O17" s="7">
        <v>19.453937705700856</v>
      </c>
      <c r="P17" s="7">
        <v>78.71430390306918</v>
      </c>
      <c r="Q17" s="7">
        <v>63.361930330494523</v>
      </c>
      <c r="R17" s="7">
        <v>68.045962743255117</v>
      </c>
    </row>
    <row r="18" spans="1:18" s="8" customFormat="1" ht="30" customHeight="1" x14ac:dyDescent="0.25">
      <c r="A18" s="17" t="s">
        <v>18</v>
      </c>
      <c r="B18" s="6">
        <f>SUM(B20:B26)</f>
        <v>100</v>
      </c>
      <c r="C18" s="6">
        <f t="shared" ref="C18:P18" si="4">SUM(C20:C26)</f>
        <v>100.00000000000003</v>
      </c>
      <c r="D18" s="6">
        <f t="shared" si="4"/>
        <v>99.999999999999986</v>
      </c>
      <c r="E18" s="6">
        <f t="shared" si="4"/>
        <v>99.999999999999986</v>
      </c>
      <c r="F18" s="6">
        <f t="shared" si="4"/>
        <v>100.00000000000001</v>
      </c>
      <c r="G18" s="6">
        <f t="shared" si="4"/>
        <v>100</v>
      </c>
      <c r="H18" s="6">
        <f t="shared" si="4"/>
        <v>100</v>
      </c>
      <c r="I18" s="6">
        <f t="shared" si="4"/>
        <v>99.999999999999986</v>
      </c>
      <c r="J18" s="6">
        <f t="shared" si="4"/>
        <v>100</v>
      </c>
      <c r="K18" s="6">
        <f t="shared" si="4"/>
        <v>100</v>
      </c>
      <c r="L18" s="6">
        <f t="shared" si="4"/>
        <v>99.999999999999972</v>
      </c>
      <c r="M18" s="6">
        <f t="shared" si="4"/>
        <v>100</v>
      </c>
      <c r="N18" s="6">
        <f t="shared" si="4"/>
        <v>99.999999999999986</v>
      </c>
      <c r="O18" s="6">
        <f t="shared" si="4"/>
        <v>99.999999999999986</v>
      </c>
      <c r="P18" s="6">
        <f t="shared" si="4"/>
        <v>99.999999999999986</v>
      </c>
      <c r="Q18" s="6">
        <f t="shared" ref="Q18" si="5">SUM(Q20:Q26)</f>
        <v>99.999999999999986</v>
      </c>
      <c r="R18" s="6">
        <v>100</v>
      </c>
    </row>
    <row r="19" spans="1:18" ht="21" customHeight="1" x14ac:dyDescent="0.25">
      <c r="A19" s="14" t="s">
        <v>27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5"/>
      <c r="Q19" s="15"/>
      <c r="R19" s="15"/>
    </row>
    <row r="20" spans="1:18" ht="21" customHeight="1" x14ac:dyDescent="0.25">
      <c r="A20" s="10" t="s">
        <v>19</v>
      </c>
      <c r="B20" s="7">
        <v>19.855857671510716</v>
      </c>
      <c r="C20" s="7">
        <v>21.415842242598657</v>
      </c>
      <c r="D20" s="7">
        <v>23.651577278334283</v>
      </c>
      <c r="E20" s="7">
        <v>27.126397549190308</v>
      </c>
      <c r="F20" s="7">
        <v>6.1371142922988433</v>
      </c>
      <c r="G20" s="7">
        <v>2.957277929281068</v>
      </c>
      <c r="H20" s="7">
        <v>2.3298464964693615</v>
      </c>
      <c r="I20" s="7">
        <v>1.7073615414058001</v>
      </c>
      <c r="J20" s="7">
        <v>4.0540828574864429</v>
      </c>
      <c r="K20" s="7">
        <v>5.8955283795864508</v>
      </c>
      <c r="L20" s="7">
        <v>15.314762517674838</v>
      </c>
      <c r="M20" s="7">
        <v>12.8</v>
      </c>
      <c r="N20" s="7">
        <v>11.649525828699902</v>
      </c>
      <c r="O20" s="7">
        <v>20.231929043727217</v>
      </c>
      <c r="P20" s="7">
        <v>18.633937816050103</v>
      </c>
      <c r="Q20" s="7">
        <v>15.549563486647633</v>
      </c>
      <c r="R20" s="7">
        <v>15.764784547731278</v>
      </c>
    </row>
    <row r="21" spans="1:18" ht="21.75" customHeight="1" x14ac:dyDescent="0.25">
      <c r="A21" s="10" t="s">
        <v>21</v>
      </c>
      <c r="B21" s="7">
        <v>11.640477487096584</v>
      </c>
      <c r="C21" s="7">
        <v>7.094390165800232</v>
      </c>
      <c r="D21" s="7">
        <v>2.9083859072717018</v>
      </c>
      <c r="E21" s="7">
        <v>0.96391190285152772</v>
      </c>
      <c r="F21" s="7">
        <v>1.9743360393024791</v>
      </c>
      <c r="G21" s="7">
        <v>10.94874965957758</v>
      </c>
      <c r="H21" s="7">
        <v>14.903937646246334</v>
      </c>
      <c r="I21" s="7">
        <v>17.562336219580828</v>
      </c>
      <c r="J21" s="7">
        <v>14.271218412979946</v>
      </c>
      <c r="K21" s="7">
        <v>12.036973089359103</v>
      </c>
      <c r="L21" s="7">
        <v>14.60081492797406</v>
      </c>
      <c r="M21" s="7">
        <v>12.8</v>
      </c>
      <c r="N21" s="7">
        <v>12.709824717723528</v>
      </c>
      <c r="O21" s="7">
        <v>12.423938533031563</v>
      </c>
      <c r="P21" s="7">
        <v>5.4764719989645343</v>
      </c>
      <c r="Q21" s="7">
        <v>4.0669308004223534</v>
      </c>
      <c r="R21" s="7">
        <v>5.1757954698147053</v>
      </c>
    </row>
    <row r="22" spans="1:18" ht="20.25" customHeight="1" x14ac:dyDescent="0.25">
      <c r="A22" s="10" t="s">
        <v>22</v>
      </c>
      <c r="B22" s="7">
        <v>3.7619403934415909</v>
      </c>
      <c r="C22" s="7">
        <v>0.12168821128841893</v>
      </c>
      <c r="D22" s="7">
        <v>0.22074572540148762</v>
      </c>
      <c r="E22" s="7">
        <v>6.0490317083566676E-2</v>
      </c>
      <c r="F22" s="7">
        <v>0.22573179764728526</v>
      </c>
      <c r="G22" s="7">
        <v>4.6210909373610258</v>
      </c>
      <c r="H22" s="7">
        <v>3.5898588814970203</v>
      </c>
      <c r="I22" s="7">
        <v>2.8162614918469462</v>
      </c>
      <c r="J22" s="7">
        <v>2.4920365474320709</v>
      </c>
      <c r="K22" s="7">
        <v>3.8925004042514235</v>
      </c>
      <c r="L22" s="7">
        <v>6.616608894717638</v>
      </c>
      <c r="M22" s="7">
        <v>7.2</v>
      </c>
      <c r="N22" s="7">
        <v>8.7744231994322188</v>
      </c>
      <c r="O22" s="7">
        <v>8.8217435243068127</v>
      </c>
      <c r="P22" s="7">
        <v>0.15747687014556319</v>
      </c>
      <c r="Q22" s="7">
        <v>0.15617125060674997</v>
      </c>
      <c r="R22" s="7">
        <v>0.32337313838536635</v>
      </c>
    </row>
    <row r="23" spans="1:18" ht="20.25" customHeight="1" x14ac:dyDescent="0.25">
      <c r="A23" s="10" t="s">
        <v>23</v>
      </c>
      <c r="B23" s="7">
        <v>0.77970072367753374</v>
      </c>
      <c r="C23" s="7">
        <v>1.0214839723221842</v>
      </c>
      <c r="D23" s="7">
        <v>0.34861131688010072</v>
      </c>
      <c r="E23" s="7">
        <v>2.2828993672333771</v>
      </c>
      <c r="F23" s="7">
        <v>0.44727617598056357</v>
      </c>
      <c r="G23" s="7">
        <v>1.6003179330314168</v>
      </c>
      <c r="H23" s="7">
        <v>2.6479791981199341</v>
      </c>
      <c r="I23" s="7">
        <v>3.1031760089866078</v>
      </c>
      <c r="J23" s="7">
        <v>2.1050331162415299</v>
      </c>
      <c r="K23" s="7">
        <v>0.9763348374240427</v>
      </c>
      <c r="L23" s="7">
        <v>2.3526076972440473</v>
      </c>
      <c r="M23" s="7">
        <v>1.1000000000000001</v>
      </c>
      <c r="N23" s="7">
        <v>1.3074282978857525</v>
      </c>
      <c r="O23" s="7">
        <v>0.60471454335229069</v>
      </c>
      <c r="P23" s="7">
        <v>46.37776372278892</v>
      </c>
      <c r="Q23" s="7">
        <v>32.250556814674972</v>
      </c>
      <c r="R23" s="7">
        <v>30.37114061724089</v>
      </c>
    </row>
    <row r="24" spans="1:18" ht="20.25" customHeight="1" x14ac:dyDescent="0.25">
      <c r="A24" s="10" t="s">
        <v>24</v>
      </c>
      <c r="B24" s="7">
        <v>36.115178789658977</v>
      </c>
      <c r="C24" s="7">
        <v>45.331472464313052</v>
      </c>
      <c r="D24" s="7">
        <v>49.417913810197369</v>
      </c>
      <c r="E24" s="7">
        <v>36.761086100162935</v>
      </c>
      <c r="F24" s="7">
        <v>46.43925646381296</v>
      </c>
      <c r="G24" s="7">
        <v>45.023394898096988</v>
      </c>
      <c r="H24" s="7">
        <v>59.283547962977821</v>
      </c>
      <c r="I24" s="7">
        <v>46.545683366452394</v>
      </c>
      <c r="J24" s="7">
        <v>50.796224741234361</v>
      </c>
      <c r="K24" s="7">
        <v>54.756038554626087</v>
      </c>
      <c r="L24" s="7">
        <v>35.257409501260625</v>
      </c>
      <c r="M24" s="7">
        <v>43.3</v>
      </c>
      <c r="N24" s="7">
        <v>37.361217897256971</v>
      </c>
      <c r="O24" s="7">
        <v>26.884646719393814</v>
      </c>
      <c r="P24" s="7">
        <v>1.6593102396313995</v>
      </c>
      <c r="Q24" s="7">
        <v>5.788452885276941</v>
      </c>
      <c r="R24" s="7">
        <v>3.9283221633136085</v>
      </c>
    </row>
    <row r="25" spans="1:18" ht="20.25" customHeight="1" x14ac:dyDescent="0.25">
      <c r="A25" s="16" t="s">
        <v>25</v>
      </c>
      <c r="B25" s="7">
        <v>8.6688006792248924</v>
      </c>
      <c r="C25" s="7">
        <v>9.2362597015232328</v>
      </c>
      <c r="D25" s="7">
        <v>14.424413875397176</v>
      </c>
      <c r="E25" s="7">
        <v>19.427274189155728</v>
      </c>
      <c r="F25" s="7">
        <v>32.96502854905097</v>
      </c>
      <c r="G25" s="7">
        <v>28.361986750516067</v>
      </c>
      <c r="H25" s="7">
        <v>3.7755993189207206</v>
      </c>
      <c r="I25" s="7">
        <v>4.3718420649818439</v>
      </c>
      <c r="J25" s="7">
        <v>5.0931217296882654</v>
      </c>
      <c r="K25" s="7">
        <v>3.8650054014690531</v>
      </c>
      <c r="L25" s="7">
        <v>4.2310133359534978</v>
      </c>
      <c r="M25" s="7">
        <v>5.0999999999999996</v>
      </c>
      <c r="N25" s="7">
        <v>8.3489968932996295</v>
      </c>
      <c r="O25" s="7">
        <v>9.6368481906412775</v>
      </c>
      <c r="P25" s="7">
        <v>6.5761720132808161</v>
      </c>
      <c r="Q25" s="7">
        <v>6.6022494600675703</v>
      </c>
      <c r="R25" s="7">
        <v>2.4261117536456229</v>
      </c>
    </row>
    <row r="26" spans="1:18" ht="20.25" customHeight="1" x14ac:dyDescent="0.25">
      <c r="A26" s="16" t="s">
        <v>26</v>
      </c>
      <c r="B26" s="7">
        <v>19.178044255389704</v>
      </c>
      <c r="C26" s="7">
        <v>15.778863242154239</v>
      </c>
      <c r="D26" s="7">
        <v>9.0283520865178719</v>
      </c>
      <c r="E26" s="7">
        <v>13.377940574322549</v>
      </c>
      <c r="F26" s="7">
        <v>11.811256681906908</v>
      </c>
      <c r="G26" s="7">
        <v>6.4871818921358555</v>
      </c>
      <c r="H26" s="7">
        <v>13.4692304957688</v>
      </c>
      <c r="I26" s="7">
        <v>23.893339306745563</v>
      </c>
      <c r="J26" s="7">
        <v>21.18828259493738</v>
      </c>
      <c r="K26" s="7">
        <v>18.577619333283842</v>
      </c>
      <c r="L26" s="7">
        <v>21.62678312517528</v>
      </c>
      <c r="M26" s="7">
        <v>17.7</v>
      </c>
      <c r="N26" s="7">
        <v>19.848583165701996</v>
      </c>
      <c r="O26" s="7">
        <v>21.39617944554702</v>
      </c>
      <c r="P26" s="7">
        <v>21.118867339138657</v>
      </c>
      <c r="Q26" s="7">
        <v>35.586075302303769</v>
      </c>
      <c r="R26" s="7">
        <v>42.01047230986854</v>
      </c>
    </row>
    <row r="27" spans="1:18" x14ac:dyDescent="0.25">
      <c r="B27" s="2"/>
      <c r="C27" s="2"/>
      <c r="D27" s="2"/>
      <c r="E27" s="2"/>
      <c r="F27" s="2"/>
    </row>
    <row r="28" spans="1:18" x14ac:dyDescent="0.25">
      <c r="A28" s="18" t="s">
        <v>30</v>
      </c>
      <c r="B28" s="2"/>
      <c r="C28" s="2"/>
      <c r="D28" s="2"/>
      <c r="E28" s="2"/>
      <c r="F28" s="2"/>
    </row>
    <row r="29" spans="1:18" x14ac:dyDescent="0.25">
      <c r="B29" s="2"/>
      <c r="C29" s="2"/>
      <c r="D29" s="2"/>
      <c r="E29" s="2"/>
      <c r="F29" s="2"/>
    </row>
  </sheetData>
  <mergeCells count="2">
    <mergeCell ref="A2:Q2"/>
    <mergeCell ref="P1:Q1"/>
  </mergeCells>
  <printOptions horizontalCentered="1"/>
  <pageMargins left="0.31496062992125984" right="0.19685039370078741" top="0.43307086614173229" bottom="0.19685039370078741" header="0.19685039370078741" footer="0.19685039370078741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Пользователь</cp:lastModifiedBy>
  <cp:lastPrinted>2026-05-08T10:15:18Z</cp:lastPrinted>
  <dcterms:created xsi:type="dcterms:W3CDTF">2019-07-17T12:32:12Z</dcterms:created>
  <dcterms:modified xsi:type="dcterms:W3CDTF">2026-07-23T04:35:16Z</dcterms:modified>
</cp:coreProperties>
</file>