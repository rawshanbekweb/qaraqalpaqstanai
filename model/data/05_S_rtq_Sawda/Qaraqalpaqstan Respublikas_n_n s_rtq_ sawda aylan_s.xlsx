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720320-D5C3-43B5-8144-86FC8D7BD03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5" r:id="rId1"/>
  </sheets>
  <definedNames>
    <definedName name="_xlnm.Print_Area" localSheetId="0">Sheet1!$A$1:$R$38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5" l="1"/>
  <c r="R27" i="5"/>
  <c r="R21" i="5" s="1"/>
  <c r="R32" i="5" s="1"/>
  <c r="R14" i="5"/>
  <c r="R7" i="5" s="1"/>
  <c r="R5" i="5"/>
  <c r="R33" i="5" s="1"/>
  <c r="R35" i="5" l="1"/>
  <c r="R19" i="5"/>
  <c r="R36" i="5"/>
  <c r="Q34" i="5"/>
  <c r="P34" i="5"/>
  <c r="P27" i="5" l="1"/>
  <c r="O14" i="5"/>
  <c r="P14" i="5"/>
  <c r="P7" i="5" s="1"/>
  <c r="Q27" i="5" l="1"/>
  <c r="Q21" i="5" s="1"/>
  <c r="Q32" i="5" s="1"/>
  <c r="Q14" i="5"/>
  <c r="Q5" i="5"/>
  <c r="Q33" i="5" s="1"/>
  <c r="Q36" i="5" l="1"/>
  <c r="Q7" i="5"/>
  <c r="Q35" i="5" s="1"/>
  <c r="Q19" i="5" l="1"/>
  <c r="J5" i="5" l="1"/>
  <c r="K5" i="5"/>
  <c r="L5" i="5"/>
  <c r="M5" i="5"/>
  <c r="M33" i="5" s="1"/>
  <c r="N5" i="5"/>
  <c r="P5" i="5"/>
  <c r="P33" i="5" s="1"/>
  <c r="K32" i="5"/>
  <c r="L32" i="5"/>
  <c r="L33" i="5"/>
  <c r="N33" i="5"/>
  <c r="K36" i="5"/>
  <c r="L36" i="5"/>
  <c r="M36" i="5"/>
  <c r="N36" i="5"/>
  <c r="O36" i="5"/>
  <c r="P36" i="5"/>
  <c r="K35" i="5"/>
  <c r="L35" i="5"/>
  <c r="M35" i="5"/>
  <c r="N35" i="5"/>
  <c r="K34" i="5"/>
  <c r="L34" i="5"/>
  <c r="M34" i="5"/>
  <c r="N34" i="5"/>
  <c r="O7" i="5"/>
  <c r="O6" i="5"/>
  <c r="B5" i="5" l="1"/>
  <c r="B33" i="5" s="1"/>
  <c r="L31" i="5"/>
  <c r="K31" i="5"/>
  <c r="J31" i="5"/>
  <c r="I31" i="5"/>
  <c r="H31" i="5"/>
  <c r="G31" i="5"/>
  <c r="F31" i="5"/>
  <c r="E31" i="5"/>
  <c r="D31" i="5"/>
  <c r="C31" i="5"/>
  <c r="B31" i="5"/>
  <c r="C18" i="5"/>
  <c r="D18" i="5"/>
  <c r="E18" i="5"/>
  <c r="F18" i="5"/>
  <c r="G18" i="5"/>
  <c r="H18" i="5"/>
  <c r="I18" i="5"/>
  <c r="J18" i="5"/>
  <c r="K18" i="5"/>
  <c r="L18" i="5"/>
  <c r="B18" i="5"/>
  <c r="C36" i="5"/>
  <c r="D36" i="5"/>
  <c r="E36" i="5"/>
  <c r="F36" i="5"/>
  <c r="G36" i="5"/>
  <c r="H36" i="5"/>
  <c r="I36" i="5"/>
  <c r="J36" i="5"/>
  <c r="B36" i="5"/>
  <c r="C35" i="5"/>
  <c r="D35" i="5"/>
  <c r="E35" i="5"/>
  <c r="F35" i="5"/>
  <c r="G35" i="5"/>
  <c r="H35" i="5"/>
  <c r="I35" i="5"/>
  <c r="J35" i="5"/>
  <c r="B35" i="5"/>
  <c r="C34" i="5"/>
  <c r="D34" i="5"/>
  <c r="E34" i="5"/>
  <c r="F34" i="5"/>
  <c r="G34" i="5"/>
  <c r="H34" i="5"/>
  <c r="I34" i="5"/>
  <c r="J34" i="5"/>
  <c r="B34" i="5"/>
  <c r="C32" i="5"/>
  <c r="D32" i="5"/>
  <c r="E32" i="5"/>
  <c r="F32" i="5"/>
  <c r="G32" i="5"/>
  <c r="H32" i="5"/>
  <c r="I32" i="5"/>
  <c r="J32" i="5"/>
  <c r="B32" i="5"/>
  <c r="C19" i="5"/>
  <c r="D19" i="5"/>
  <c r="E19" i="5"/>
  <c r="F19" i="5"/>
  <c r="G19" i="5"/>
  <c r="H19" i="5"/>
  <c r="I19" i="5"/>
  <c r="J19" i="5"/>
  <c r="K19" i="5"/>
  <c r="L19" i="5"/>
  <c r="B19" i="5"/>
  <c r="C5" i="5"/>
  <c r="C33" i="5" s="1"/>
  <c r="D5" i="5"/>
  <c r="D33" i="5" s="1"/>
  <c r="E5" i="5"/>
  <c r="E33" i="5" s="1"/>
  <c r="F5" i="5"/>
  <c r="F33" i="5" s="1"/>
  <c r="G5" i="5"/>
  <c r="G33" i="5" s="1"/>
  <c r="H5" i="5"/>
  <c r="H33" i="5" s="1"/>
  <c r="I5" i="5"/>
  <c r="I33" i="5" s="1"/>
  <c r="J33" i="5"/>
  <c r="K33" i="5"/>
  <c r="O21" i="5" l="1"/>
  <c r="O20" i="5" s="1"/>
  <c r="O35" i="5" l="1"/>
  <c r="O34" i="5"/>
  <c r="O5" i="5"/>
  <c r="O33" i="5" s="1"/>
  <c r="P21" i="5" l="1"/>
  <c r="P35" i="5" s="1"/>
</calcChain>
</file>

<file path=xl/sharedStrings.xml><?xml version="1.0" encoding="utf-8"?>
<sst xmlns="http://schemas.openxmlformats.org/spreadsheetml/2006/main" count="53" uniqueCount="43">
  <si>
    <t>Paxta</t>
  </si>
  <si>
    <t>Million dollarda</t>
  </si>
  <si>
    <t>5-jadval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</si>
  <si>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</si>
  <si>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</si>
  <si>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</si>
  <si>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</si>
  <si>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</si>
  <si>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</si>
  <si>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</si>
  <si>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</si>
  <si>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</si>
  <si>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</si>
  <si>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</si>
  <si>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Sırtqı sawda</t>
  </si>
  <si>
    <t>Tovarlar hám xızmetler, tovarlar eksporti</t>
  </si>
  <si>
    <t>Tovarlardı eksport qılıw (FOB bahasında)</t>
  </si>
  <si>
    <t>Ximiyalıq ónimler hám buyımlar</t>
  </si>
  <si>
    <t>Qara hám reńli metallar</t>
  </si>
  <si>
    <t>Energiya derekleri hám neft ónimleri</t>
  </si>
  <si>
    <t>Mashina hám ásbap-úskeneler</t>
  </si>
  <si>
    <t>Azıq-awqat ónimleri</t>
  </si>
  <si>
    <t>Qurılıs</t>
  </si>
  <si>
    <t>Transport xızmetleri</t>
  </si>
  <si>
    <t>Saparlar (turizm)</t>
  </si>
  <si>
    <t>Basqa xızmetler</t>
  </si>
  <si>
    <t>Basqa</t>
  </si>
  <si>
    <t>Tovarlar hám xızmetler importi</t>
  </si>
  <si>
    <t>Tovarlard import qılıw (CIF bahasında)</t>
  </si>
  <si>
    <t>Xızmetlerdiń importi</t>
  </si>
  <si>
    <t>Tovarlar hám xızmetler sırtqı sawda aylanısı</t>
  </si>
  <si>
    <t>Tovarlar hám xızmetler sırtqı sawda  balansı</t>
  </si>
  <si>
    <t>Tovarlardiń sırtqı sawda  balansı</t>
  </si>
  <si>
    <t>Xızmetlerdiń sırtqı sawda  balansı</t>
  </si>
  <si>
    <t>Xızmetlerdi eksport qilish</t>
  </si>
  <si>
    <t>Qaraqalpaqstan Respublikasınıń sırtqı sawda aylanısı</t>
  </si>
  <si>
    <t>2021 j.</t>
  </si>
  <si>
    <t>2022 j.</t>
  </si>
  <si>
    <t>*) dáslepki maǵliwmatlar</t>
  </si>
  <si>
    <t>2023 j.</t>
  </si>
  <si>
    <t>2024 j.</t>
  </si>
  <si>
    <t>yanvar-dekabr
2025 j. *)</t>
  </si>
  <si>
    <t>yanvar-iyun
2026 j.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</si>
</sst>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i/>
      <sz val="13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i/>
      <sz val="13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4" fillId="0" borderId="0"/>
  </cellStyleXfs>
  <cellXfs count="24">
    <xf numFmtId="0" fontId="0" fillId="0" borderId="0" xfId="0"/>
    <xf numFmtId="0" fontId="5" fillId="2" borderId="0" xfId="0" applyFont="1" applyFill="1"/>
    <xf numFmtId="2" fontId="6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9" fillId="0" borderId="0" xfId="0" applyFont="1"/>
    <xf numFmtId="164" fontId="6" fillId="0" borderId="1" xfId="4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8" fillId="0" borderId="1" xfId="4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1" fillId="0" borderId="2" xfId="0" applyFont="1" applyBorder="1"/>
    <xf numFmtId="0" fontId="10" fillId="0" borderId="0" xfId="0" applyFont="1" applyAlignment="1">
      <alignment vertical="center"/>
    </xf>
    <xf numFmtId="2" fontId="6" fillId="0" borderId="1" xfId="0" applyNumberFormat="1" applyFont="1" applyBorder="1" applyAlignment="1">
      <alignment horizontal="left" vertical="center" wrapText="1" indent="1"/>
    </xf>
    <xf numFmtId="0" fontId="6" fillId="0" borderId="1" xfId="4" applyFont="1" applyBorder="1" applyAlignment="1">
      <alignment horizontal="left" vertical="center" wrapText="1" indent="1"/>
    </xf>
    <xf numFmtId="0" fontId="8" fillId="0" borderId="1" xfId="4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wrapText="1" indent="1"/>
    </xf>
    <xf numFmtId="0" fontId="13" fillId="0" borderId="2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5">
    <cellStyle name="Normal 2" xfId="3" xr:uid="{00000000-0005-0000-0000-000000000000}"/>
    <cellStyle name="Normal 2 2" xfId="4" xr:uid="{00000000-0005-0000-0000-000001000000}"/>
    <cellStyle name="Normal 3" xfId="1" xr:uid="{00000000-0005-0000-0000-000002000000}"/>
    <cellStyle name="Normal 4" xfId="2" xr:uid="{00000000-0005-0000-0000-000003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view="pageBreakPreview" zoomScale="85" zoomScaleNormal="85" zoomScaleSheetLayoutView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12" sqref="S12"/>
    </sheetView>
  </sheetViews>
  <sheetFormatPr defaultColWidth="9.109375" defaultRowHeight="13.8" x14ac:dyDescent="0.25"/>
  <cols>
    <col min="1" max="1" width="49.109375" style="4" customWidth="1"/>
    <col min="2" max="10" width="10.44140625" style="4" customWidth="1"/>
    <col min="11" max="11" width="10.44140625" style="5" customWidth="1"/>
    <col min="12" max="17" width="10.44140625" style="3" customWidth="1"/>
    <col min="18" max="16384" width="9.109375" style="3"/>
  </cols>
  <sheetData>
    <row r="1" spans="1:20" s="1" customFormat="1" ht="21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13"/>
      <c r="M1" s="13"/>
      <c r="N1" s="13"/>
      <c r="O1" s="13"/>
      <c r="P1" s="23" t="s">
        <v>2</v>
      </c>
      <c r="Q1" s="23"/>
      <c r="R1" s="3"/>
      <c r="S1" s="3"/>
      <c r="T1" s="3"/>
    </row>
    <row r="2" spans="1:20" s="1" customFormat="1" ht="30.75" customHeight="1" x14ac:dyDescent="0.25">
      <c r="A2" s="22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3"/>
      <c r="S2" s="3"/>
      <c r="T2" s="3"/>
    </row>
    <row r="3" spans="1:20" s="1" customFormat="1" ht="21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2"/>
      <c r="M3" s="12"/>
      <c r="N3" s="19"/>
      <c r="O3" s="21" t="s">
        <v>1</v>
      </c>
      <c r="P3" s="21"/>
      <c r="Q3" s="21"/>
      <c r="R3" s="3"/>
      <c r="S3" s="3"/>
      <c r="T3" s="3"/>
    </row>
    <row r="4" spans="1:20" ht="51" customHeight="1" x14ac:dyDescent="0.25">
      <c r="A4" s="2"/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36</v>
      </c>
      <c r="N4" s="11" t="s">
        <v>37</v>
      </c>
      <c r="O4" s="11" t="s">
        <v>39</v>
      </c>
      <c r="P4" s="11" t="s">
        <v>40</v>
      </c>
      <c r="Q4" s="11" t="s">
        <v>41</v>
      </c>
      <c r="R4" s="11" t="s">
        <v>42</v>
      </c>
    </row>
    <row r="5" spans="1:20" ht="21.75" customHeight="1" x14ac:dyDescent="0.25">
      <c r="A5" s="14" t="s">
        <v>14</v>
      </c>
      <c r="B5" s="7">
        <f>+B6+B20</f>
        <v>126.27147799999997</v>
      </c>
      <c r="C5" s="7">
        <f t="shared" ref="C5:R5" si="0">+C6+C20</f>
        <v>158.3225688</v>
      </c>
      <c r="D5" s="7">
        <f t="shared" si="0"/>
        <v>240.27736434000002</v>
      </c>
      <c r="E5" s="7">
        <f t="shared" si="0"/>
        <v>233.75274396</v>
      </c>
      <c r="F5" s="7">
        <f t="shared" si="0"/>
        <v>316.94807573000003</v>
      </c>
      <c r="G5" s="7">
        <f t="shared" si="0"/>
        <v>286.08892977000005</v>
      </c>
      <c r="H5" s="7">
        <f t="shared" si="0"/>
        <v>628.47417109999708</v>
      </c>
      <c r="I5" s="7">
        <f t="shared" si="0"/>
        <v>641.08731329999841</v>
      </c>
      <c r="J5" s="7">
        <f t="shared" si="0"/>
        <v>742.00128569999947</v>
      </c>
      <c r="K5" s="7">
        <f t="shared" si="0"/>
        <v>699.95709529909959</v>
      </c>
      <c r="L5" s="7">
        <f t="shared" si="0"/>
        <v>538.99104071344436</v>
      </c>
      <c r="M5" s="7">
        <f t="shared" si="0"/>
        <v>649.20000000000005</v>
      </c>
      <c r="N5" s="7">
        <f t="shared" si="0"/>
        <v>599.30726489349991</v>
      </c>
      <c r="O5" s="7">
        <f t="shared" si="0"/>
        <v>535.06732599999998</v>
      </c>
      <c r="P5" s="7">
        <f t="shared" si="0"/>
        <v>652.99994819369977</v>
      </c>
      <c r="Q5" s="7">
        <f t="shared" si="0"/>
        <v>810.80719999999997</v>
      </c>
      <c r="R5" s="7">
        <f t="shared" si="0"/>
        <v>440.31545082682817</v>
      </c>
    </row>
    <row r="6" spans="1:20" ht="21.75" customHeight="1" x14ac:dyDescent="0.25">
      <c r="A6" s="15" t="s">
        <v>15</v>
      </c>
      <c r="B6" s="7">
        <v>98.286637999999968</v>
      </c>
      <c r="C6" s="7">
        <v>106.09893980000001</v>
      </c>
      <c r="D6" s="7">
        <v>113.99632334</v>
      </c>
      <c r="E6" s="7">
        <v>114.51051896</v>
      </c>
      <c r="F6" s="7">
        <v>105.55295773000002</v>
      </c>
      <c r="G6" s="7">
        <v>95.378075570000021</v>
      </c>
      <c r="H6" s="7">
        <v>428.34510649999737</v>
      </c>
      <c r="I6" s="7">
        <v>462.42538809999826</v>
      </c>
      <c r="J6" s="7">
        <v>457.80561419999913</v>
      </c>
      <c r="K6" s="8">
        <v>431.0798720990997</v>
      </c>
      <c r="L6" s="8">
        <v>362.68846358344433</v>
      </c>
      <c r="M6" s="8">
        <v>416.2</v>
      </c>
      <c r="N6" s="8">
        <v>352.80726489349991</v>
      </c>
      <c r="O6" s="8">
        <f>O7+O14</f>
        <v>326.39999999999998</v>
      </c>
      <c r="P6" s="8">
        <v>387.39205313369956</v>
      </c>
      <c r="Q6" s="8">
        <v>435.16759999999999</v>
      </c>
      <c r="R6" s="8">
        <v>213.1691876376282</v>
      </c>
    </row>
    <row r="7" spans="1:20" ht="21.75" customHeight="1" x14ac:dyDescent="0.25">
      <c r="A7" s="15" t="s">
        <v>16</v>
      </c>
      <c r="B7" s="7">
        <v>88.28172899999997</v>
      </c>
      <c r="C7" s="7">
        <v>102.42797400000001</v>
      </c>
      <c r="D7" s="7">
        <v>109.39026664000001</v>
      </c>
      <c r="E7" s="7">
        <v>100.87157726</v>
      </c>
      <c r="F7" s="7">
        <v>99.020624730000009</v>
      </c>
      <c r="G7" s="7">
        <v>90.849104070000024</v>
      </c>
      <c r="H7" s="7">
        <v>425.35804159999736</v>
      </c>
      <c r="I7" s="7">
        <v>460.03399939999827</v>
      </c>
      <c r="J7" s="7">
        <v>455.19663939999913</v>
      </c>
      <c r="K7" s="8">
        <v>428.45792337999973</v>
      </c>
      <c r="L7" s="8">
        <v>360.15420425000332</v>
      </c>
      <c r="M7" s="8">
        <v>413.5</v>
      </c>
      <c r="N7" s="8">
        <v>348.49838499999993</v>
      </c>
      <c r="O7" s="8">
        <f>O9+O11+O12+O13+O19</f>
        <v>319.39999999999998</v>
      </c>
      <c r="P7" s="8">
        <f>P6-P14</f>
        <v>383.45522399999959</v>
      </c>
      <c r="Q7" s="8">
        <f>Q6-Q14</f>
        <v>356.03756620090815</v>
      </c>
      <c r="R7" s="8">
        <f>R6-R14</f>
        <v>183.63777300000004</v>
      </c>
    </row>
    <row r="8" spans="1:20" ht="21.75" customHeight="1" x14ac:dyDescent="0.25">
      <c r="A8" s="16" t="s">
        <v>0</v>
      </c>
      <c r="B8" s="9">
        <v>70.525184999999979</v>
      </c>
      <c r="C8" s="9">
        <v>82.093125000000001</v>
      </c>
      <c r="D8" s="9">
        <v>94.687332999999995</v>
      </c>
      <c r="E8" s="9">
        <v>79.514237999999992</v>
      </c>
      <c r="F8" s="9">
        <v>67.86563000000001</v>
      </c>
      <c r="G8" s="9">
        <v>47.618052000000006</v>
      </c>
      <c r="H8" s="9">
        <v>27.448663999999997</v>
      </c>
      <c r="I8" s="9">
        <v>9.4020200000000003</v>
      </c>
      <c r="J8" s="9">
        <v>0</v>
      </c>
      <c r="K8" s="9">
        <v>6.3980870000000003</v>
      </c>
      <c r="L8" s="9">
        <v>6.765555</v>
      </c>
      <c r="M8" s="9">
        <v>11.9</v>
      </c>
      <c r="N8" s="9"/>
      <c r="O8" s="10"/>
      <c r="P8" s="10"/>
      <c r="Q8" s="10"/>
      <c r="R8" s="10"/>
    </row>
    <row r="9" spans="1:20" ht="21.75" customHeight="1" x14ac:dyDescent="0.25">
      <c r="A9" s="16" t="s">
        <v>17</v>
      </c>
      <c r="B9" s="9">
        <v>6.7024940000000006</v>
      </c>
      <c r="C9" s="9">
        <v>3.6785269999999999</v>
      </c>
      <c r="D9" s="9">
        <v>2.8636000000000002E-2</v>
      </c>
      <c r="E9" s="9">
        <v>5.916945000000001</v>
      </c>
      <c r="F9" s="9">
        <v>9.752435000000002</v>
      </c>
      <c r="G9" s="9">
        <v>15.420244500000001</v>
      </c>
      <c r="H9" s="9">
        <v>359.60102599999738</v>
      </c>
      <c r="I9" s="9">
        <v>399.90745599999826</v>
      </c>
      <c r="J9" s="9">
        <v>401.09290899999917</v>
      </c>
      <c r="K9" s="10">
        <v>337.27202199999971</v>
      </c>
      <c r="L9" s="10">
        <v>253.81980300000339</v>
      </c>
      <c r="M9" s="10">
        <v>284.3</v>
      </c>
      <c r="N9" s="10">
        <v>254.11550799999992</v>
      </c>
      <c r="O9" s="10">
        <v>210.6</v>
      </c>
      <c r="P9" s="10">
        <v>61.899000000000001</v>
      </c>
      <c r="Q9" s="10">
        <v>59.480716999999999</v>
      </c>
      <c r="R9" s="10">
        <v>18.379103000000001</v>
      </c>
    </row>
    <row r="10" spans="1:20" ht="21.75" customHeight="1" x14ac:dyDescent="0.25">
      <c r="A10" s="16" t="s">
        <v>18</v>
      </c>
      <c r="B10" s="9">
        <v>2.4646000000000001E-2</v>
      </c>
      <c r="C10" s="9">
        <v>5.6050000000000006E-3</v>
      </c>
      <c r="D10" s="9">
        <v>1.8214999999999999E-2</v>
      </c>
      <c r="E10" s="9">
        <v>1.2145E-2</v>
      </c>
      <c r="F10" s="9">
        <v>8.542000000000001E-3</v>
      </c>
      <c r="G10" s="9">
        <v>4.4626999999999993E-2</v>
      </c>
      <c r="H10" s="9">
        <v>1.2769999999999999E-3</v>
      </c>
      <c r="I10" s="9">
        <v>0</v>
      </c>
      <c r="J10" s="9">
        <v>0</v>
      </c>
      <c r="K10" s="10">
        <v>3.0899999999999999E-3</v>
      </c>
      <c r="L10" s="10">
        <v>1.4394000000000001E-2</v>
      </c>
      <c r="M10" s="10"/>
      <c r="N10" s="10">
        <v>0.18049999999999999</v>
      </c>
      <c r="O10" s="10"/>
      <c r="P10" s="10">
        <v>1.0582</v>
      </c>
      <c r="Q10" s="10">
        <v>1.2167979999999998</v>
      </c>
      <c r="R10" s="10">
        <v>1.7761880000000001</v>
      </c>
    </row>
    <row r="11" spans="1:20" ht="21.75" customHeight="1" x14ac:dyDescent="0.25">
      <c r="A11" s="16" t="s">
        <v>19</v>
      </c>
      <c r="B11" s="9">
        <v>1.5975789999999996</v>
      </c>
      <c r="C11" s="9">
        <v>2.2364600000000006</v>
      </c>
      <c r="D11" s="9">
        <v>0.10238599999999999</v>
      </c>
      <c r="E11" s="9">
        <v>0</v>
      </c>
      <c r="F11" s="9">
        <v>0</v>
      </c>
      <c r="G11" s="9">
        <v>0</v>
      </c>
      <c r="H11" s="9">
        <v>2.1772695999999998</v>
      </c>
      <c r="I11" s="9">
        <v>11.555660399999999</v>
      </c>
      <c r="J11" s="9">
        <v>9.2849370000000011</v>
      </c>
      <c r="K11" s="10">
        <v>2.8015950000000003</v>
      </c>
      <c r="L11" s="10">
        <v>1.8089390000000001</v>
      </c>
      <c r="M11" s="10">
        <v>1.2</v>
      </c>
      <c r="N11" s="10">
        <v>0.124226</v>
      </c>
      <c r="O11" s="10">
        <v>3</v>
      </c>
      <c r="P11" s="10">
        <v>4.2503000000000002</v>
      </c>
      <c r="Q11" s="10">
        <v>1.0161739999999999</v>
      </c>
      <c r="R11" s="10">
        <v>0.51659900000000003</v>
      </c>
    </row>
    <row r="12" spans="1:20" ht="21.75" customHeight="1" x14ac:dyDescent="0.25">
      <c r="A12" s="16" t="s">
        <v>20</v>
      </c>
      <c r="B12" s="9">
        <v>0.30759800000000009</v>
      </c>
      <c r="C12" s="9">
        <v>3.5136999999999995E-2</v>
      </c>
      <c r="D12" s="9">
        <v>3.1139000000000003E-2</v>
      </c>
      <c r="E12" s="9">
        <v>1.0305999999999999E-2</v>
      </c>
      <c r="F12" s="9">
        <v>1.9859000000000002E-2</v>
      </c>
      <c r="G12" s="9">
        <v>1.87417E-2</v>
      </c>
      <c r="H12" s="9">
        <v>1.4619420000000003</v>
      </c>
      <c r="I12" s="9">
        <v>1.2414E-2</v>
      </c>
      <c r="J12" s="9">
        <v>0.12297900000000002</v>
      </c>
      <c r="K12" s="10">
        <v>4.3072239999999979</v>
      </c>
      <c r="L12" s="10">
        <v>0.63723699999999994</v>
      </c>
      <c r="M12" s="10">
        <v>6.6</v>
      </c>
      <c r="N12" s="10">
        <v>0.94488899999999987</v>
      </c>
      <c r="O12" s="10">
        <v>0.2</v>
      </c>
      <c r="P12" s="10">
        <v>4.1874000000000002</v>
      </c>
      <c r="Q12" s="10">
        <v>9.256964</v>
      </c>
      <c r="R12" s="10">
        <v>6.3136589999999977</v>
      </c>
    </row>
    <row r="13" spans="1:20" ht="21.75" customHeight="1" x14ac:dyDescent="0.25">
      <c r="A13" s="16" t="s">
        <v>21</v>
      </c>
      <c r="B13" s="9">
        <v>4.421848999999999</v>
      </c>
      <c r="C13" s="9">
        <v>9.1208620000000025</v>
      </c>
      <c r="D13" s="9">
        <v>9.0602740000000015</v>
      </c>
      <c r="E13" s="9">
        <v>6.7057502599999994</v>
      </c>
      <c r="F13" s="9">
        <v>10.865966729999998</v>
      </c>
      <c r="G13" s="9">
        <v>14.222818269999999</v>
      </c>
      <c r="H13" s="9">
        <v>26.605046999999995</v>
      </c>
      <c r="I13" s="9">
        <v>26.095981999999999</v>
      </c>
      <c r="J13" s="9">
        <v>30.747738400000017</v>
      </c>
      <c r="K13" s="10">
        <v>40.660028379999986</v>
      </c>
      <c r="L13" s="10">
        <v>48.249805249999959</v>
      </c>
      <c r="M13" s="10">
        <v>47.5</v>
      </c>
      <c r="N13" s="10">
        <v>39.963397000000001</v>
      </c>
      <c r="O13" s="10">
        <v>42.1</v>
      </c>
      <c r="P13" s="10">
        <v>5.8294030000000001</v>
      </c>
      <c r="Q13" s="10">
        <v>9.3363169999999993</v>
      </c>
      <c r="R13" s="10">
        <v>11.599197999999998</v>
      </c>
    </row>
    <row r="14" spans="1:20" ht="21.75" customHeight="1" x14ac:dyDescent="0.25">
      <c r="A14" s="16" t="s">
        <v>34</v>
      </c>
      <c r="B14" s="7">
        <v>10.004909</v>
      </c>
      <c r="C14" s="7">
        <v>3.6709658000000007</v>
      </c>
      <c r="D14" s="7">
        <v>4.6060566999999999</v>
      </c>
      <c r="E14" s="7">
        <v>13.638941700000011</v>
      </c>
      <c r="F14" s="7">
        <v>6.5323330000000004</v>
      </c>
      <c r="G14" s="7">
        <v>4.528971499999999</v>
      </c>
      <c r="H14" s="7">
        <v>2.9870648999999996</v>
      </c>
      <c r="I14" s="7">
        <v>2.3913886999999994</v>
      </c>
      <c r="J14" s="7">
        <v>2.6089747999999995</v>
      </c>
      <c r="K14" s="8">
        <v>2.6219487190999988</v>
      </c>
      <c r="L14" s="8">
        <v>2.5342593334410002</v>
      </c>
      <c r="M14" s="8">
        <v>2.7</v>
      </c>
      <c r="N14" s="8">
        <v>4.3088798934999994</v>
      </c>
      <c r="O14" s="20">
        <f>SUM(O15:O18)</f>
        <v>7</v>
      </c>
      <c r="P14" s="20">
        <f>SUM(P15:P18)</f>
        <v>3.9368291337000008</v>
      </c>
      <c r="Q14" s="20">
        <f>SUM(Q15:Q18)</f>
        <v>79.130033799091848</v>
      </c>
      <c r="R14" s="20">
        <f>SUM(R15:R18)</f>
        <v>29.531414637628146</v>
      </c>
    </row>
    <row r="15" spans="1:20" ht="21.75" customHeight="1" x14ac:dyDescent="0.25">
      <c r="A15" s="16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1.0711089999999999</v>
      </c>
      <c r="G15" s="9">
        <v>0.49506999999999995</v>
      </c>
      <c r="H15" s="9">
        <v>0.30049999999999999</v>
      </c>
      <c r="I15" s="9">
        <v>0.29146499999999997</v>
      </c>
      <c r="J15" s="9">
        <v>0.29239999999999999</v>
      </c>
      <c r="K15" s="10">
        <v>0</v>
      </c>
      <c r="L15" s="10">
        <v>0.38793232020500001</v>
      </c>
      <c r="M15" s="10">
        <v>0</v>
      </c>
      <c r="N15" s="10">
        <v>0</v>
      </c>
      <c r="O15" s="10">
        <v>0</v>
      </c>
      <c r="P15" s="10"/>
      <c r="Q15" s="10">
        <v>67.761800000000008</v>
      </c>
      <c r="R15" s="10">
        <v>21.5</v>
      </c>
    </row>
    <row r="16" spans="1:20" ht="21.75" customHeight="1" x14ac:dyDescent="0.3">
      <c r="A16" s="16" t="s">
        <v>23</v>
      </c>
      <c r="B16" s="9">
        <v>1.9236999999999997</v>
      </c>
      <c r="C16" s="9">
        <v>1.505533</v>
      </c>
      <c r="D16" s="9">
        <v>2.4834999999999998</v>
      </c>
      <c r="E16" s="9">
        <v>2.7943800000000003</v>
      </c>
      <c r="F16" s="9">
        <v>3.0037180000000006</v>
      </c>
      <c r="G16" s="9">
        <v>2.1185190999999999</v>
      </c>
      <c r="H16" s="9">
        <v>1.3145609999999999</v>
      </c>
      <c r="I16" s="9">
        <v>0.55838880000000002</v>
      </c>
      <c r="J16" s="9">
        <v>0.45389000000000002</v>
      </c>
      <c r="K16" s="10">
        <v>0.80050979999999983</v>
      </c>
      <c r="L16" s="10">
        <v>1.0591593159999997</v>
      </c>
      <c r="M16" s="10">
        <v>0.3</v>
      </c>
      <c r="N16" s="10">
        <v>0</v>
      </c>
      <c r="O16" s="10">
        <v>0</v>
      </c>
      <c r="P16" s="10">
        <v>1.4766464500000001</v>
      </c>
      <c r="Q16" s="10">
        <v>8.2849999999999993E-2</v>
      </c>
      <c r="R16" s="10">
        <v>0.50091381999999995</v>
      </c>
      <c r="S16"/>
    </row>
    <row r="17" spans="1:18" ht="21.75" customHeight="1" x14ac:dyDescent="0.25">
      <c r="A17" s="16" t="s">
        <v>24</v>
      </c>
      <c r="B17" s="9">
        <v>5.53733E-2</v>
      </c>
      <c r="C17" s="9">
        <v>0.13181630000000003</v>
      </c>
      <c r="D17" s="9">
        <v>0.14662420000000004</v>
      </c>
      <c r="E17" s="9">
        <v>8.6771056000000115</v>
      </c>
      <c r="F17" s="9">
        <v>0.21385550000000011</v>
      </c>
      <c r="G17" s="9">
        <v>0.24933019999999984</v>
      </c>
      <c r="H17" s="9">
        <v>0.25561519999999999</v>
      </c>
      <c r="I17" s="9">
        <v>0.5103021999999996</v>
      </c>
      <c r="J17" s="9">
        <v>0.85782339999999935</v>
      </c>
      <c r="K17" s="10">
        <v>0.84256874869999909</v>
      </c>
      <c r="L17" s="10">
        <v>0.37758485963600019</v>
      </c>
      <c r="M17" s="10">
        <v>0</v>
      </c>
      <c r="N17" s="10">
        <v>0</v>
      </c>
      <c r="O17" s="10">
        <v>0</v>
      </c>
      <c r="P17" s="10">
        <v>0.6152543782000004</v>
      </c>
      <c r="Q17" s="10">
        <v>1.084308243303</v>
      </c>
      <c r="R17" s="10">
        <v>1.1766904627000003</v>
      </c>
    </row>
    <row r="18" spans="1:18" ht="21.75" customHeight="1" x14ac:dyDescent="0.25">
      <c r="A18" s="16" t="s">
        <v>25</v>
      </c>
      <c r="B18" s="9">
        <f>+B14-B15-B16-B17</f>
        <v>8.0258357</v>
      </c>
      <c r="C18" s="9">
        <f t="shared" ref="C18:L18" si="1">+C14-C15-C16-C17</f>
        <v>2.0336165000000004</v>
      </c>
      <c r="D18" s="9">
        <f t="shared" si="1"/>
        <v>1.9759325000000001</v>
      </c>
      <c r="E18" s="9">
        <f t="shared" si="1"/>
        <v>2.167456099999999</v>
      </c>
      <c r="F18" s="9">
        <f t="shared" si="1"/>
        <v>2.2436504999999998</v>
      </c>
      <c r="G18" s="9">
        <f t="shared" si="1"/>
        <v>1.6660521999999993</v>
      </c>
      <c r="H18" s="9">
        <f t="shared" si="1"/>
        <v>1.1163886999999997</v>
      </c>
      <c r="I18" s="9">
        <f t="shared" si="1"/>
        <v>1.0312326999999999</v>
      </c>
      <c r="J18" s="9">
        <f t="shared" si="1"/>
        <v>1.0048614000000005</v>
      </c>
      <c r="K18" s="9">
        <f t="shared" si="1"/>
        <v>0.97887017039999979</v>
      </c>
      <c r="L18" s="9">
        <f t="shared" si="1"/>
        <v>0.70958283760000029</v>
      </c>
      <c r="M18" s="9">
        <v>2.4</v>
      </c>
      <c r="N18" s="9">
        <v>4.3</v>
      </c>
      <c r="O18" s="10">
        <v>7</v>
      </c>
      <c r="P18" s="10">
        <v>1.8449283055000005</v>
      </c>
      <c r="Q18" s="10">
        <v>10.201075555788854</v>
      </c>
      <c r="R18" s="10">
        <v>6.3538103549281439</v>
      </c>
    </row>
    <row r="19" spans="1:18" ht="21.75" customHeight="1" x14ac:dyDescent="0.25">
      <c r="A19" s="17" t="s">
        <v>26</v>
      </c>
      <c r="B19" s="8">
        <f>+B7-B8-B9-B10-B11-B12-B13</f>
        <v>4.7023779999999897</v>
      </c>
      <c r="C19" s="8">
        <f t="shared" ref="C19:L19" si="2">+C7-C8-C9-C10-C11-C12-C13</f>
        <v>5.2582580000000032</v>
      </c>
      <c r="D19" s="8">
        <f t="shared" si="2"/>
        <v>5.4622836400000114</v>
      </c>
      <c r="E19" s="8">
        <f t="shared" si="2"/>
        <v>8.7121930000000027</v>
      </c>
      <c r="F19" s="8">
        <f t="shared" si="2"/>
        <v>10.508191999999999</v>
      </c>
      <c r="G19" s="8">
        <f t="shared" si="2"/>
        <v>13.524620600000018</v>
      </c>
      <c r="H19" s="8">
        <f t="shared" si="2"/>
        <v>8.0628159999999802</v>
      </c>
      <c r="I19" s="8">
        <f t="shared" si="2"/>
        <v>13.06046700000001</v>
      </c>
      <c r="J19" s="8">
        <f t="shared" si="2"/>
        <v>13.948075999999944</v>
      </c>
      <c r="K19" s="8">
        <f t="shared" si="2"/>
        <v>37.01587700000006</v>
      </c>
      <c r="L19" s="8">
        <f t="shared" si="2"/>
        <v>48.858470999999973</v>
      </c>
      <c r="M19" s="8">
        <v>62.000000000000014</v>
      </c>
      <c r="N19" s="8">
        <v>53.169865000000016</v>
      </c>
      <c r="O19" s="8">
        <v>63.5</v>
      </c>
      <c r="P19" s="8">
        <v>306.23092099999957</v>
      </c>
      <c r="Q19" s="8">
        <f t="shared" ref="Q19:R19" si="3">+Q7-Q8-Q9-Q10-Q11-Q12-Q13</f>
        <v>275.73059620090817</v>
      </c>
      <c r="R19" s="8">
        <f t="shared" si="3"/>
        <v>145.05302600000005</v>
      </c>
    </row>
    <row r="20" spans="1:18" ht="21.75" customHeight="1" x14ac:dyDescent="0.25">
      <c r="A20" s="15" t="s">
        <v>27</v>
      </c>
      <c r="B20" s="7">
        <v>27.984840000000005</v>
      </c>
      <c r="C20" s="7">
        <v>52.223628999999988</v>
      </c>
      <c r="D20" s="7">
        <v>126.281041</v>
      </c>
      <c r="E20" s="7">
        <v>119.242225</v>
      </c>
      <c r="F20" s="7">
        <v>211.39511800000002</v>
      </c>
      <c r="G20" s="7">
        <v>190.7108542</v>
      </c>
      <c r="H20" s="7">
        <v>200.12906459999974</v>
      </c>
      <c r="I20" s="7">
        <v>178.6619252000001</v>
      </c>
      <c r="J20" s="7">
        <v>284.1956715000004</v>
      </c>
      <c r="K20" s="8">
        <v>268.87722319999995</v>
      </c>
      <c r="L20" s="8">
        <v>176.30257712999997</v>
      </c>
      <c r="M20" s="8">
        <v>233</v>
      </c>
      <c r="N20" s="8">
        <v>246.5</v>
      </c>
      <c r="O20" s="8">
        <f>O21+O27</f>
        <v>208.66732599999997</v>
      </c>
      <c r="P20" s="8">
        <v>265.60789506000026</v>
      </c>
      <c r="Q20" s="8">
        <v>375.63959999999997</v>
      </c>
      <c r="R20" s="8">
        <v>227.14626318919997</v>
      </c>
    </row>
    <row r="21" spans="1:18" ht="21.75" customHeight="1" x14ac:dyDescent="0.25">
      <c r="A21" s="15" t="s">
        <v>28</v>
      </c>
      <c r="B21" s="7">
        <v>25.558890000000005</v>
      </c>
      <c r="C21" s="7">
        <v>47.400118999999989</v>
      </c>
      <c r="D21" s="7">
        <v>108.065741</v>
      </c>
      <c r="E21" s="7">
        <v>96.076711000000003</v>
      </c>
      <c r="F21" s="7">
        <v>141.70865700000002</v>
      </c>
      <c r="G21" s="7">
        <v>136.621467</v>
      </c>
      <c r="H21" s="7">
        <v>192.57299299999974</v>
      </c>
      <c r="I21" s="7">
        <v>170.8511080000001</v>
      </c>
      <c r="J21" s="7">
        <v>269.72124000000042</v>
      </c>
      <c r="K21" s="8">
        <v>258.48510399999992</v>
      </c>
      <c r="L21" s="8">
        <v>168.84319157999997</v>
      </c>
      <c r="M21" s="8">
        <v>221.2</v>
      </c>
      <c r="N21" s="8">
        <v>225.9</v>
      </c>
      <c r="O21" s="8">
        <f>O22+O23+O24+O25+O26+O32</f>
        <v>188.56732599999998</v>
      </c>
      <c r="P21" s="8">
        <f>P22+P23+P24+P25+P26+P32</f>
        <v>248.14106300000029</v>
      </c>
      <c r="Q21" s="8">
        <f>Q20-Q27</f>
        <v>350.83893911999996</v>
      </c>
      <c r="R21" s="8">
        <f>R20-R27</f>
        <v>221.63544099999999</v>
      </c>
    </row>
    <row r="22" spans="1:18" ht="21.75" customHeight="1" x14ac:dyDescent="0.25">
      <c r="A22" s="16" t="s">
        <v>17</v>
      </c>
      <c r="B22" s="9">
        <v>3.2575690000000006</v>
      </c>
      <c r="C22" s="9">
        <v>3.7049479999999977</v>
      </c>
      <c r="D22" s="9">
        <v>3.6727399999999997</v>
      </c>
      <c r="E22" s="9">
        <v>1.1493900000000001</v>
      </c>
      <c r="F22" s="9">
        <v>4.173650000000003</v>
      </c>
      <c r="G22" s="9">
        <v>20.880453999999993</v>
      </c>
      <c r="H22" s="9">
        <v>29.827111000000009</v>
      </c>
      <c r="I22" s="9">
        <v>31.377208000000024</v>
      </c>
      <c r="J22" s="9">
        <v>40.558185000000059</v>
      </c>
      <c r="K22" s="10">
        <v>32.364679000000002</v>
      </c>
      <c r="L22" s="10">
        <v>25.741613000000019</v>
      </c>
      <c r="M22" s="10">
        <v>29.8</v>
      </c>
      <c r="N22" s="10">
        <v>31.3</v>
      </c>
      <c r="O22" s="10">
        <v>25.9</v>
      </c>
      <c r="P22" s="10">
        <v>14.545942000000004</v>
      </c>
      <c r="Q22" s="10">
        <v>15.277001000000002</v>
      </c>
      <c r="R22" s="10">
        <v>11.756626000000001</v>
      </c>
    </row>
    <row r="23" spans="1:18" ht="21.75" customHeight="1" x14ac:dyDescent="0.25">
      <c r="A23" s="16" t="s">
        <v>18</v>
      </c>
      <c r="B23" s="9">
        <v>0.21819799999999998</v>
      </c>
      <c r="C23" s="9">
        <v>0.53345600000000004</v>
      </c>
      <c r="D23" s="9">
        <v>0.4402299999999999</v>
      </c>
      <c r="E23" s="9">
        <v>2.7221799999999998</v>
      </c>
      <c r="F23" s="9">
        <v>0.94552000000000003</v>
      </c>
      <c r="G23" s="9">
        <v>3.051979999999999</v>
      </c>
      <c r="H23" s="9">
        <v>5.2993759999999979</v>
      </c>
      <c r="I23" s="9">
        <v>5.5441940000000018</v>
      </c>
      <c r="J23" s="9">
        <v>5.9824129999999993</v>
      </c>
      <c r="K23" s="10">
        <v>2.6251419999999999</v>
      </c>
      <c r="L23" s="10">
        <v>4.1477080000000024</v>
      </c>
      <c r="M23" s="10">
        <v>2.6</v>
      </c>
      <c r="N23" s="10">
        <v>3.2</v>
      </c>
      <c r="O23" s="10">
        <v>1.3</v>
      </c>
      <c r="P23" s="10">
        <v>123.18300199999995</v>
      </c>
      <c r="Q23" s="10">
        <v>121.14585000000002</v>
      </c>
      <c r="R23" s="10">
        <v>68.986910999999992</v>
      </c>
    </row>
    <row r="24" spans="1:18" ht="21.75" customHeight="1" x14ac:dyDescent="0.25">
      <c r="A24" s="16" t="s">
        <v>19</v>
      </c>
      <c r="B24" s="9">
        <v>1.052773</v>
      </c>
      <c r="C24" s="9">
        <v>6.3550000000000009E-2</v>
      </c>
      <c r="D24" s="9">
        <v>0.27876000000000001</v>
      </c>
      <c r="E24" s="9">
        <v>7.2130000000000014E-2</v>
      </c>
      <c r="F24" s="9">
        <v>0.47718599999999994</v>
      </c>
      <c r="G24" s="9">
        <v>8.8129220000000004</v>
      </c>
      <c r="H24" s="9">
        <v>7.1843510000000004</v>
      </c>
      <c r="I24" s="9">
        <v>5.0315869999999983</v>
      </c>
      <c r="J24" s="9">
        <v>7.0822599999999998</v>
      </c>
      <c r="K24" s="10">
        <v>10.466047</v>
      </c>
      <c r="L24" s="10">
        <v>11.665252000000002</v>
      </c>
      <c r="M24" s="10">
        <v>16.8</v>
      </c>
      <c r="N24" s="10">
        <v>21.6</v>
      </c>
      <c r="O24" s="10">
        <v>18.399999999999999</v>
      </c>
      <c r="P24" s="10">
        <v>0.41827099999999995</v>
      </c>
      <c r="Q24" s="10">
        <v>0.58664100000000008</v>
      </c>
      <c r="R24" s="10">
        <v>0.73453000000000013</v>
      </c>
    </row>
    <row r="25" spans="1:18" ht="21.75" customHeight="1" x14ac:dyDescent="0.25">
      <c r="A25" s="16" t="s">
        <v>20</v>
      </c>
      <c r="B25" s="9">
        <v>10.106775000000003</v>
      </c>
      <c r="C25" s="9">
        <v>23.673739999999999</v>
      </c>
      <c r="D25" s="9">
        <v>62.405456000000008</v>
      </c>
      <c r="E25" s="9">
        <v>43.834737000000011</v>
      </c>
      <c r="F25" s="9">
        <v>98.170321000000044</v>
      </c>
      <c r="G25" s="9">
        <v>85.864500999999976</v>
      </c>
      <c r="H25" s="9">
        <v>118.64360999999973</v>
      </c>
      <c r="I25" s="9">
        <v>83.159414000000069</v>
      </c>
      <c r="J25" s="9">
        <v>144.36067200000033</v>
      </c>
      <c r="K25" s="10">
        <v>147.226516</v>
      </c>
      <c r="L25" s="10">
        <v>62.15972157999996</v>
      </c>
      <c r="M25" s="10">
        <v>101</v>
      </c>
      <c r="N25" s="10">
        <v>92.1</v>
      </c>
      <c r="O25" s="10">
        <v>56.1</v>
      </c>
      <c r="P25" s="10">
        <v>4.4072590000000016</v>
      </c>
      <c r="Q25" s="10">
        <v>21.743718999999999</v>
      </c>
      <c r="R25" s="10">
        <v>8.9230370000000025</v>
      </c>
    </row>
    <row r="26" spans="1:18" ht="21.75" customHeight="1" x14ac:dyDescent="0.25">
      <c r="A26" s="16" t="s">
        <v>21</v>
      </c>
      <c r="B26" s="9">
        <v>5.5566299999999993</v>
      </c>
      <c r="C26" s="9">
        <v>11.18413</v>
      </c>
      <c r="D26" s="9">
        <v>29.867458000000003</v>
      </c>
      <c r="E26" s="9">
        <v>32.346119999999992</v>
      </c>
      <c r="F26" s="9">
        <v>12.973560000000006</v>
      </c>
      <c r="G26" s="9">
        <v>5.6398499999999965</v>
      </c>
      <c r="H26" s="9">
        <v>4.6626999999999992</v>
      </c>
      <c r="I26" s="9">
        <v>3.0504049999999991</v>
      </c>
      <c r="J26" s="9">
        <v>11.521528</v>
      </c>
      <c r="K26" s="10">
        <v>15.851733000000003</v>
      </c>
      <c r="L26" s="10">
        <v>27.000321000000007</v>
      </c>
      <c r="M26" s="10">
        <v>29.7</v>
      </c>
      <c r="N26" s="10">
        <v>28.7</v>
      </c>
      <c r="O26" s="10">
        <v>42.2</v>
      </c>
      <c r="P26" s="10">
        <v>49.493210000000012</v>
      </c>
      <c r="Q26" s="10">
        <v>58.410312000000005</v>
      </c>
      <c r="R26" s="10">
        <v>35.809119000000017</v>
      </c>
    </row>
    <row r="27" spans="1:18" ht="21.75" customHeight="1" x14ac:dyDescent="0.25">
      <c r="A27" s="15" t="s">
        <v>29</v>
      </c>
      <c r="B27" s="7">
        <v>2.4259499999999998</v>
      </c>
      <c r="C27" s="7">
        <v>4.8235100000000006</v>
      </c>
      <c r="D27" s="7">
        <v>18.215299999999999</v>
      </c>
      <c r="E27" s="7">
        <v>23.165513999999998</v>
      </c>
      <c r="F27" s="7">
        <v>69.686461000000008</v>
      </c>
      <c r="G27" s="7">
        <v>54.089387199999997</v>
      </c>
      <c r="H27" s="7">
        <v>7.5560715999999992</v>
      </c>
      <c r="I27" s="7">
        <v>7.8108171999999998</v>
      </c>
      <c r="J27" s="7">
        <v>14.474431500000001</v>
      </c>
      <c r="K27" s="8">
        <v>10.392119199999998</v>
      </c>
      <c r="L27" s="8">
        <v>7.4593855500000004</v>
      </c>
      <c r="M27" s="8">
        <v>11.8</v>
      </c>
      <c r="N27" s="8">
        <v>20.6</v>
      </c>
      <c r="O27" s="8">
        <v>20.100000000000001</v>
      </c>
      <c r="P27" s="20">
        <f>SUM(P28:P31)</f>
        <v>17.466832059999998</v>
      </c>
      <c r="Q27" s="20">
        <f>SUM(Q28:Q31)</f>
        <v>24.800660879999999</v>
      </c>
      <c r="R27" s="20">
        <f>SUM(R28:R31)</f>
        <v>5.510822189199998</v>
      </c>
    </row>
    <row r="28" spans="1:18" ht="21.75" customHeight="1" x14ac:dyDescent="0.25">
      <c r="A28" s="16" t="s">
        <v>22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2.0830161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10">
        <v>0</v>
      </c>
      <c r="P28" s="10"/>
      <c r="Q28" s="10"/>
      <c r="R28" s="10"/>
    </row>
    <row r="29" spans="1:18" ht="21.75" customHeight="1" x14ac:dyDescent="0.25">
      <c r="A29" s="16" t="s">
        <v>23</v>
      </c>
      <c r="B29" s="9">
        <v>1.11E-2</v>
      </c>
      <c r="C29" s="9">
        <v>0</v>
      </c>
      <c r="D29" s="9">
        <v>0</v>
      </c>
      <c r="E29" s="9">
        <v>8.0999999999999996E-3</v>
      </c>
      <c r="F29" s="9">
        <v>5.0000000000000001E-3</v>
      </c>
      <c r="G29" s="9">
        <v>4.8500000000000001E-2</v>
      </c>
      <c r="H29" s="9">
        <v>0.19835099999999997</v>
      </c>
      <c r="I29" s="9">
        <v>4.7499999999999999E-3</v>
      </c>
      <c r="J29" s="9">
        <v>3.1142E-2</v>
      </c>
      <c r="K29" s="10">
        <v>0.11701995999999999</v>
      </c>
      <c r="L29" s="10">
        <v>0.11111211</v>
      </c>
      <c r="M29" s="10">
        <v>1.7127099999999999E-2</v>
      </c>
      <c r="N29" s="10">
        <v>0.20408321000000001</v>
      </c>
      <c r="O29" s="10">
        <v>0</v>
      </c>
      <c r="P29" s="10">
        <v>2.3922435399999999</v>
      </c>
      <c r="Q29" s="10">
        <v>0.25827523000000002</v>
      </c>
      <c r="R29" s="10">
        <v>0.42795212999999999</v>
      </c>
    </row>
    <row r="30" spans="1:18" ht="21.75" customHeight="1" x14ac:dyDescent="0.25">
      <c r="A30" s="16" t="s">
        <v>24</v>
      </c>
      <c r="B30" s="9">
        <v>2.9500000000000004E-3</v>
      </c>
      <c r="C30" s="9">
        <v>0.05</v>
      </c>
      <c r="D30" s="9">
        <v>7.6999999999999999E-2</v>
      </c>
      <c r="E30" s="9">
        <v>4.8756000000000004</v>
      </c>
      <c r="F30" s="9">
        <v>2.4E-2</v>
      </c>
      <c r="G30" s="9">
        <v>5.9518999999999996E-2</v>
      </c>
      <c r="H30" s="9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/>
      <c r="Q30" s="10"/>
      <c r="R30" s="10">
        <v>4.6455919999999998E-4</v>
      </c>
    </row>
    <row r="31" spans="1:18" ht="21.75" customHeight="1" x14ac:dyDescent="0.25">
      <c r="A31" s="16" t="s">
        <v>25</v>
      </c>
      <c r="B31" s="9">
        <f>+B27-B28-B29-B30</f>
        <v>2.4119000000000002</v>
      </c>
      <c r="C31" s="9">
        <f t="shared" ref="C31" si="4">+C27-C28-C29-C30</f>
        <v>4.7735100000000008</v>
      </c>
      <c r="D31" s="9">
        <f t="shared" ref="D31" si="5">+D27-D28-D29-D30</f>
        <v>18.138299999999997</v>
      </c>
      <c r="E31" s="9">
        <f t="shared" ref="E31" si="6">+E27-E28-E29-E30</f>
        <v>18.281813999999997</v>
      </c>
      <c r="F31" s="9">
        <f t="shared" ref="F31" si="7">+F27-F28-F29-F30</f>
        <v>69.657461000000012</v>
      </c>
      <c r="G31" s="9">
        <f t="shared" ref="G31" si="8">+G27-G28-G29-G30</f>
        <v>53.981368199999999</v>
      </c>
      <c r="H31" s="9">
        <f t="shared" ref="H31" si="9">+H27-H28-H29-H30</f>
        <v>7.3577205999999995</v>
      </c>
      <c r="I31" s="9">
        <f t="shared" ref="I31" si="10">+I27-I28-I29-I30</f>
        <v>5.7230511000000002</v>
      </c>
      <c r="J31" s="9">
        <f t="shared" ref="J31" si="11">+J27-J28-J29-J30</f>
        <v>14.443289500000002</v>
      </c>
      <c r="K31" s="9">
        <f t="shared" ref="K31" si="12">+K27-K28-K29-K30</f>
        <v>10.275099239999998</v>
      </c>
      <c r="L31" s="9">
        <f t="shared" ref="L31" si="13">+L27-L28-L29-L30</f>
        <v>7.3482734400000007</v>
      </c>
      <c r="M31" s="9">
        <v>11.8</v>
      </c>
      <c r="N31" s="9">
        <v>20.399999999999999</v>
      </c>
      <c r="O31" s="10">
        <v>20.13</v>
      </c>
      <c r="P31" s="10">
        <v>15.074588519999999</v>
      </c>
      <c r="Q31" s="10">
        <v>24.54238565</v>
      </c>
      <c r="R31" s="10">
        <v>5.0824054999999984</v>
      </c>
    </row>
    <row r="32" spans="1:18" ht="21.75" customHeight="1" x14ac:dyDescent="0.25">
      <c r="A32" s="17" t="s">
        <v>26</v>
      </c>
      <c r="B32" s="8">
        <f>+B21-B22-B23-B24-B25-B26</f>
        <v>5.3669450000000039</v>
      </c>
      <c r="C32" s="8">
        <f t="shared" ref="C32:L32" si="14">+C21-C22-C23-C24-C25-C26</f>
        <v>8.2402949999999962</v>
      </c>
      <c r="D32" s="8">
        <f t="shared" si="14"/>
        <v>11.401096999999982</v>
      </c>
      <c r="E32" s="8">
        <f t="shared" si="14"/>
        <v>15.952154000000007</v>
      </c>
      <c r="F32" s="8">
        <f t="shared" si="14"/>
        <v>24.968419999999981</v>
      </c>
      <c r="G32" s="8">
        <f t="shared" si="14"/>
        <v>12.371760000000037</v>
      </c>
      <c r="H32" s="8">
        <f t="shared" si="14"/>
        <v>26.955845000000025</v>
      </c>
      <c r="I32" s="8">
        <f t="shared" si="14"/>
        <v>42.688299999999998</v>
      </c>
      <c r="J32" s="8">
        <f t="shared" si="14"/>
        <v>60.216182000000018</v>
      </c>
      <c r="K32" s="8">
        <f t="shared" si="14"/>
        <v>49.950986999999905</v>
      </c>
      <c r="L32" s="8">
        <f t="shared" si="14"/>
        <v>38.12857599999996</v>
      </c>
      <c r="M32" s="8">
        <v>41.299999999999969</v>
      </c>
      <c r="N32" s="8">
        <v>49.000000000000014</v>
      </c>
      <c r="O32" s="8">
        <v>44.667325999999989</v>
      </c>
      <c r="P32" s="8">
        <v>56.093379000000304</v>
      </c>
      <c r="Q32" s="8">
        <f t="shared" ref="Q32:R32" si="15">+Q21-Q22-Q23-Q24-Q25-Q26</f>
        <v>133.67541611999997</v>
      </c>
      <c r="R32" s="8">
        <f t="shared" si="15"/>
        <v>95.425217999999973</v>
      </c>
    </row>
    <row r="33" spans="1:18" ht="21.75" customHeight="1" x14ac:dyDescent="0.25">
      <c r="A33" s="15" t="s">
        <v>30</v>
      </c>
      <c r="B33" s="8">
        <f>+B5</f>
        <v>126.27147799999997</v>
      </c>
      <c r="C33" s="8">
        <f t="shared" ref="C33:R33" si="16">+C5</f>
        <v>158.3225688</v>
      </c>
      <c r="D33" s="8">
        <f t="shared" si="16"/>
        <v>240.27736434000002</v>
      </c>
      <c r="E33" s="8">
        <f t="shared" si="16"/>
        <v>233.75274396</v>
      </c>
      <c r="F33" s="8">
        <f t="shared" si="16"/>
        <v>316.94807573000003</v>
      </c>
      <c r="G33" s="8">
        <f t="shared" si="16"/>
        <v>286.08892977000005</v>
      </c>
      <c r="H33" s="8">
        <f t="shared" si="16"/>
        <v>628.47417109999708</v>
      </c>
      <c r="I33" s="8">
        <f t="shared" si="16"/>
        <v>641.08731329999841</v>
      </c>
      <c r="J33" s="8">
        <f t="shared" si="16"/>
        <v>742.00128569999947</v>
      </c>
      <c r="K33" s="8">
        <f t="shared" si="16"/>
        <v>699.95709529909959</v>
      </c>
      <c r="L33" s="8">
        <f t="shared" si="16"/>
        <v>538.99104071344436</v>
      </c>
      <c r="M33" s="8">
        <f t="shared" si="16"/>
        <v>649.20000000000005</v>
      </c>
      <c r="N33" s="8">
        <f t="shared" si="16"/>
        <v>599.30726489349991</v>
      </c>
      <c r="O33" s="8">
        <f t="shared" si="16"/>
        <v>535.06732599999998</v>
      </c>
      <c r="P33" s="8">
        <f t="shared" si="16"/>
        <v>652.99994819369977</v>
      </c>
      <c r="Q33" s="8">
        <f t="shared" si="16"/>
        <v>810.80719999999997</v>
      </c>
      <c r="R33" s="8">
        <f t="shared" si="16"/>
        <v>440.31545082682817</v>
      </c>
    </row>
    <row r="34" spans="1:18" ht="21.75" customHeight="1" x14ac:dyDescent="0.25">
      <c r="A34" s="16" t="s">
        <v>31</v>
      </c>
      <c r="B34" s="10">
        <f>+B6-B20</f>
        <v>70.301797999999962</v>
      </c>
      <c r="C34" s="10">
        <f t="shared" ref="C34:O34" si="17">+C6-C20</f>
        <v>53.875310800000022</v>
      </c>
      <c r="D34" s="10">
        <f t="shared" si="17"/>
        <v>-12.284717659999998</v>
      </c>
      <c r="E34" s="10">
        <f t="shared" si="17"/>
        <v>-4.7317060400000059</v>
      </c>
      <c r="F34" s="10">
        <f t="shared" si="17"/>
        <v>-105.84216027000001</v>
      </c>
      <c r="G34" s="10">
        <f t="shared" si="17"/>
        <v>-95.332778629999979</v>
      </c>
      <c r="H34" s="10">
        <f t="shared" si="17"/>
        <v>228.21604189999763</v>
      </c>
      <c r="I34" s="10">
        <f t="shared" si="17"/>
        <v>283.76346289999816</v>
      </c>
      <c r="J34" s="10">
        <f t="shared" si="17"/>
        <v>173.60994269999873</v>
      </c>
      <c r="K34" s="10">
        <f t="shared" si="17"/>
        <v>162.20264889909976</v>
      </c>
      <c r="L34" s="10">
        <f t="shared" si="17"/>
        <v>186.38588645344436</v>
      </c>
      <c r="M34" s="10">
        <f t="shared" si="17"/>
        <v>183.2</v>
      </c>
      <c r="N34" s="10">
        <f t="shared" si="17"/>
        <v>106.30726489349991</v>
      </c>
      <c r="O34" s="10">
        <f t="shared" si="17"/>
        <v>117.732674</v>
      </c>
      <c r="P34" s="10">
        <f t="shared" ref="P34:R35" si="18">+P6-P20</f>
        <v>121.7841580736993</v>
      </c>
      <c r="Q34" s="10">
        <f t="shared" si="18"/>
        <v>59.52800000000002</v>
      </c>
      <c r="R34" s="10">
        <f t="shared" si="18"/>
        <v>-13.977075551571772</v>
      </c>
    </row>
    <row r="35" spans="1:18" ht="21.75" customHeight="1" x14ac:dyDescent="0.25">
      <c r="A35" s="16" t="s">
        <v>32</v>
      </c>
      <c r="B35" s="10">
        <f>+B7-B21</f>
        <v>62.722838999999965</v>
      </c>
      <c r="C35" s="10">
        <f t="shared" ref="C35:O35" si="19">+C7-C21</f>
        <v>55.027855000000017</v>
      </c>
      <c r="D35" s="10">
        <f t="shared" si="19"/>
        <v>1.3245256400000045</v>
      </c>
      <c r="E35" s="10">
        <f t="shared" si="19"/>
        <v>4.7948662599999921</v>
      </c>
      <c r="F35" s="10">
        <f t="shared" si="19"/>
        <v>-42.688032270000008</v>
      </c>
      <c r="G35" s="10">
        <f t="shared" si="19"/>
        <v>-45.772362929999971</v>
      </c>
      <c r="H35" s="10">
        <f t="shared" si="19"/>
        <v>232.78504859999762</v>
      </c>
      <c r="I35" s="10">
        <f t="shared" si="19"/>
        <v>289.1828913999982</v>
      </c>
      <c r="J35" s="10">
        <f t="shared" si="19"/>
        <v>185.47539939999871</v>
      </c>
      <c r="K35" s="10">
        <f t="shared" si="19"/>
        <v>169.97281937999981</v>
      </c>
      <c r="L35" s="10">
        <f t="shared" si="19"/>
        <v>191.31101267000335</v>
      </c>
      <c r="M35" s="10">
        <f t="shared" si="19"/>
        <v>192.3</v>
      </c>
      <c r="N35" s="10">
        <f t="shared" si="19"/>
        <v>122.59838499999992</v>
      </c>
      <c r="O35" s="10">
        <f t="shared" si="19"/>
        <v>130.832674</v>
      </c>
      <c r="P35" s="10">
        <f t="shared" ref="P35:Q35" si="20">+P7-P21</f>
        <v>135.3141609999993</v>
      </c>
      <c r="Q35" s="10">
        <f t="shared" si="20"/>
        <v>5.1986270809081816</v>
      </c>
      <c r="R35" s="10">
        <f t="shared" si="18"/>
        <v>-37.997667999999948</v>
      </c>
    </row>
    <row r="36" spans="1:18" ht="21.75" customHeight="1" x14ac:dyDescent="0.25">
      <c r="A36" s="16" t="s">
        <v>33</v>
      </c>
      <c r="B36" s="10">
        <f>+B14-B27</f>
        <v>7.5789589999999993</v>
      </c>
      <c r="C36" s="10">
        <f t="shared" ref="C36:R36" si="21">+C14-C27</f>
        <v>-1.1525441999999999</v>
      </c>
      <c r="D36" s="10">
        <f t="shared" si="21"/>
        <v>-13.609243299999999</v>
      </c>
      <c r="E36" s="10">
        <f t="shared" si="21"/>
        <v>-9.5265722999999873</v>
      </c>
      <c r="F36" s="10">
        <f t="shared" si="21"/>
        <v>-63.154128000000007</v>
      </c>
      <c r="G36" s="10">
        <f t="shared" si="21"/>
        <v>-49.5604157</v>
      </c>
      <c r="H36" s="10">
        <f t="shared" si="21"/>
        <v>-4.5690066999999992</v>
      </c>
      <c r="I36" s="10">
        <f t="shared" si="21"/>
        <v>-5.4194285000000004</v>
      </c>
      <c r="J36" s="10">
        <f t="shared" si="21"/>
        <v>-11.865456700000003</v>
      </c>
      <c r="K36" s="10">
        <f t="shared" si="21"/>
        <v>-7.7701704808999992</v>
      </c>
      <c r="L36" s="10">
        <f t="shared" si="21"/>
        <v>-4.9251262165590006</v>
      </c>
      <c r="M36" s="10">
        <f t="shared" si="21"/>
        <v>-9.1000000000000014</v>
      </c>
      <c r="N36" s="10">
        <f t="shared" si="21"/>
        <v>-16.291120106500003</v>
      </c>
      <c r="O36" s="10">
        <f t="shared" si="21"/>
        <v>-13.100000000000001</v>
      </c>
      <c r="P36" s="10">
        <f t="shared" si="21"/>
        <v>-13.530002926299996</v>
      </c>
      <c r="Q36" s="10">
        <f t="shared" si="21"/>
        <v>54.329372919091853</v>
      </c>
      <c r="R36" s="10">
        <f t="shared" si="21"/>
        <v>24.020592448428147</v>
      </c>
    </row>
    <row r="38" spans="1:18" x14ac:dyDescent="0.25">
      <c r="A38" s="18" t="s">
        <v>38</v>
      </c>
      <c r="L38" s="6"/>
      <c r="M38" s="6"/>
      <c r="N38" s="6"/>
    </row>
  </sheetData>
  <mergeCells count="3">
    <mergeCell ref="O3:Q3"/>
    <mergeCell ref="A2:Q2"/>
    <mergeCell ref="P1:Q1"/>
  </mergeCells>
  <printOptions horizontalCentered="1"/>
  <pageMargins left="0.19685039370078741" right="0.19685039370078741" top="0.19685039370078741" bottom="0.27559055118110237" header="0.19685039370078741" footer="0.19685039370078741"/>
  <pageSetup paperSize="9" scale="6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</cp:lastModifiedBy>
  <cp:lastPrinted>2026-05-08T10:14:35Z</cp:lastPrinted>
  <dcterms:created xsi:type="dcterms:W3CDTF">2016-03-10T14:57:36Z</dcterms:created>
  <dcterms:modified xsi:type="dcterms:W3CDTF">2026-07-23T04:20:35Z</dcterms:modified>
</cp:coreProperties>
</file>