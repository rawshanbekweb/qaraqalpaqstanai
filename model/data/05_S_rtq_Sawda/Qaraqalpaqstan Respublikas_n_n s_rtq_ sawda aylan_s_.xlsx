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B4DE813-5651-488A-AFB3-E1C1170D4392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ırtqı sawda" sheetId="1" r:id="rId1"/>
  </sheets>
  <definedNames>
    <definedName name="_xlnm.Print_Area" localSheetId="0">'sırtqı sawda'!$A$1:$R$31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8" i="1" l="1"/>
  <c r="R15" i="1"/>
  <c r="R14" i="1"/>
  <c r="R11" i="1"/>
  <c r="R9" i="1"/>
  <c r="R6" i="1"/>
  <c r="Q18" i="1" l="1"/>
  <c r="Q15" i="1"/>
  <c r="Q14" i="1"/>
  <c r="Q11" i="1"/>
  <c r="Q9" i="1"/>
  <c r="Q6" i="1"/>
  <c r="L18" i="1" l="1"/>
  <c r="M18" i="1"/>
  <c r="N18" i="1"/>
  <c r="O18" i="1"/>
  <c r="K14" i="1"/>
  <c r="L14" i="1"/>
  <c r="M14" i="1"/>
  <c r="N14" i="1"/>
  <c r="O14" i="1"/>
  <c r="P14" i="1"/>
  <c r="J9" i="1"/>
  <c r="K9" i="1"/>
  <c r="L9" i="1"/>
  <c r="M9" i="1"/>
  <c r="N9" i="1"/>
  <c r="O9" i="1"/>
  <c r="P9" i="1"/>
  <c r="M6" i="1"/>
  <c r="N6" i="1"/>
  <c r="O6" i="1"/>
  <c r="P6" i="1"/>
  <c r="P18" i="1" l="1"/>
  <c r="P15" i="1"/>
  <c r="P11" i="1"/>
  <c r="C18" i="1" l="1"/>
  <c r="D18" i="1"/>
  <c r="E18" i="1"/>
  <c r="F18" i="1"/>
  <c r="G18" i="1"/>
  <c r="H18" i="1"/>
  <c r="I18" i="1"/>
  <c r="J18" i="1"/>
  <c r="K18" i="1"/>
  <c r="B18" i="1"/>
  <c r="C14" i="1"/>
  <c r="D14" i="1"/>
  <c r="E14" i="1"/>
  <c r="F14" i="1"/>
  <c r="G14" i="1"/>
  <c r="H14" i="1"/>
  <c r="I14" i="1"/>
  <c r="J14" i="1"/>
  <c r="B14" i="1"/>
  <c r="D24" i="1" l="1"/>
  <c r="E24" i="1"/>
  <c r="F24" i="1"/>
  <c r="G24" i="1"/>
  <c r="C24" i="1"/>
  <c r="C9" i="1" l="1"/>
  <c r="D9" i="1"/>
  <c r="E9" i="1"/>
  <c r="F9" i="1"/>
  <c r="G9" i="1"/>
  <c r="H9" i="1"/>
  <c r="I9" i="1"/>
  <c r="B9" i="1"/>
  <c r="C6" i="1"/>
  <c r="D6" i="1"/>
  <c r="E6" i="1"/>
  <c r="F6" i="1"/>
  <c r="G6" i="1"/>
  <c r="H6" i="1"/>
  <c r="I6" i="1"/>
  <c r="J6" i="1"/>
  <c r="K6" i="1"/>
  <c r="L6" i="1"/>
  <c r="B6" i="1"/>
</calcChain>
</file>

<file path=xl/sharedStrings.xml><?xml version="1.0" encoding="utf-8"?>
<sst xmlns="http://schemas.openxmlformats.org/spreadsheetml/2006/main" count="45" uniqueCount="30">
  <si>
    <t>Million. Doll.</t>
  </si>
  <si>
    <t>import</t>
  </si>
  <si>
    <t>eksport</t>
  </si>
  <si>
    <t>savdo balansi  saldosi</t>
  </si>
  <si>
    <t>7-jadval</t>
  </si>
  <si>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</si>
  <si>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</si>
  <si>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</si>
  <si>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</si>
  <si>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</si>
  <si>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</si>
  <si>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</si>
  <si>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</si>
  <si>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</si>
  <si>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</si>
  <si>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>2020 j.</t>
  </si>
  <si>
    <t>Sırtqı sawda aylanısı</t>
  </si>
  <si>
    <t>sawda balansı saldosi</t>
  </si>
  <si>
    <t xml:space="preserve">sonnan:    </t>
  </si>
  <si>
    <t>ǴMDA mámleketleri menen</t>
  </si>
  <si>
    <t>basqa mámleketler menen</t>
  </si>
  <si>
    <t xml:space="preserve">ótken jılǵa salıstırǵanda, prosentte   </t>
  </si>
  <si>
    <t>Qaraqalpaqstan Respublikasınıń sırtqı sawda aylanısı</t>
  </si>
  <si>
    <t>2021 j.</t>
  </si>
  <si>
    <t>2022 j.</t>
  </si>
  <si>
    <t>*) dáslepki maǵliwmatlar</t>
  </si>
  <si>
    <t>2023 j.</t>
  </si>
  <si>
    <t>2024 j.</t>
  </si>
  <si>
    <t>yanvar-dekabr
2025 j. *)</t>
  </si>
  <si>
    <t>yanvar-iyun
2026 j. 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</si>
</sst>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164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1"/>
  <sheetViews>
    <sheetView tabSelected="1" view="pageBreakPreview" zoomScaleNormal="100" zoomScaleSheetLayoutView="100" workbookViewId="0">
      <pane xSplit="1" ySplit="5" topLeftCell="B22" activePane="bottomRight" state="frozen"/>
      <selection pane="topRight" activeCell="B1" sqref="B1"/>
      <selection pane="bottomLeft" activeCell="A6" sqref="A6"/>
      <selection pane="bottomRight" activeCell="S9" sqref="S9"/>
    </sheetView>
  </sheetViews>
  <sheetFormatPr defaultColWidth="9.109375" defaultRowHeight="13.8" x14ac:dyDescent="0.3"/>
  <cols>
    <col min="1" max="1" width="27.6640625" style="1" customWidth="1"/>
    <col min="2" max="16" width="9.33203125" style="2" customWidth="1"/>
    <col min="17" max="17" width="10.44140625" style="2" customWidth="1"/>
    <col min="18" max="18" width="11.109375" style="2" customWidth="1"/>
    <col min="19" max="16384" width="9.109375" style="2"/>
  </cols>
  <sheetData>
    <row r="1" spans="1:24" ht="23.25" customHeight="1" x14ac:dyDescent="0.3">
      <c r="N1" s="3"/>
      <c r="P1" s="16" t="s">
        <v>4</v>
      </c>
      <c r="Q1" s="16"/>
    </row>
    <row r="2" spans="1:24" ht="25.5" customHeight="1" x14ac:dyDescent="0.3">
      <c r="A2" s="23" t="s">
        <v>22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24" ht="17.399999999999999" x14ac:dyDescent="0.3">
      <c r="A3" s="11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24" ht="57" customHeight="1" x14ac:dyDescent="0.3">
      <c r="A4" s="5"/>
      <c r="B4" s="12" t="s">
        <v>5</v>
      </c>
      <c r="C4" s="12" t="s">
        <v>6</v>
      </c>
      <c r="D4" s="12" t="s">
        <v>7</v>
      </c>
      <c r="E4" s="12" t="s">
        <v>8</v>
      </c>
      <c r="F4" s="12" t="s">
        <v>9</v>
      </c>
      <c r="G4" s="12" t="s">
        <v>10</v>
      </c>
      <c r="H4" s="12" t="s">
        <v>11</v>
      </c>
      <c r="I4" s="12" t="s">
        <v>12</v>
      </c>
      <c r="J4" s="12" t="s">
        <v>13</v>
      </c>
      <c r="K4" s="12" t="s">
        <v>14</v>
      </c>
      <c r="L4" s="12" t="s">
        <v>15</v>
      </c>
      <c r="M4" s="12" t="s">
        <v>23</v>
      </c>
      <c r="N4" s="12" t="s">
        <v>24</v>
      </c>
      <c r="O4" s="12" t="s">
        <v>26</v>
      </c>
      <c r="P4" s="12" t="s">
        <v>27</v>
      </c>
      <c r="Q4" s="12" t="s">
        <v>28</v>
      </c>
      <c r="R4" s="12" t="s">
        <v>29</v>
      </c>
    </row>
    <row r="5" spans="1:24" ht="20.25" customHeight="1" x14ac:dyDescent="0.3">
      <c r="A5" s="17" t="s">
        <v>0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9"/>
    </row>
    <row r="6" spans="1:24" ht="20.25" customHeight="1" x14ac:dyDescent="0.3">
      <c r="A6" s="6" t="s">
        <v>16</v>
      </c>
      <c r="B6" s="7">
        <f>B7+B8</f>
        <v>126.27147799999997</v>
      </c>
      <c r="C6" s="7">
        <f t="shared" ref="C6:P6" si="0">C7+C8</f>
        <v>158.3225688</v>
      </c>
      <c r="D6" s="7">
        <f t="shared" si="0"/>
        <v>240.27736434000002</v>
      </c>
      <c r="E6" s="7">
        <f t="shared" si="0"/>
        <v>233.75274396</v>
      </c>
      <c r="F6" s="7">
        <f t="shared" si="0"/>
        <v>316.94807573000003</v>
      </c>
      <c r="G6" s="7">
        <f t="shared" si="0"/>
        <v>286.08892977000005</v>
      </c>
      <c r="H6" s="7">
        <f t="shared" si="0"/>
        <v>628.47417109999708</v>
      </c>
      <c r="I6" s="7">
        <f t="shared" si="0"/>
        <v>641.08731329999841</v>
      </c>
      <c r="J6" s="7">
        <f t="shared" si="0"/>
        <v>742.00128569999947</v>
      </c>
      <c r="K6" s="7">
        <f t="shared" si="0"/>
        <v>699.95709529909959</v>
      </c>
      <c r="L6" s="7">
        <f t="shared" si="0"/>
        <v>538.99104071344436</v>
      </c>
      <c r="M6" s="7">
        <f t="shared" si="0"/>
        <v>649.20000000000005</v>
      </c>
      <c r="N6" s="7">
        <f t="shared" si="0"/>
        <v>599.34929999999997</v>
      </c>
      <c r="O6" s="7">
        <f t="shared" si="0"/>
        <v>535.20000000000005</v>
      </c>
      <c r="P6" s="7">
        <f t="shared" si="0"/>
        <v>652.99994819369954</v>
      </c>
      <c r="Q6" s="7">
        <f t="shared" ref="Q6" si="1">Q7+Q8</f>
        <v>810.80719999999997</v>
      </c>
      <c r="R6" s="7">
        <f>R7+R8</f>
        <v>440.31545082682828</v>
      </c>
    </row>
    <row r="7" spans="1:24" ht="20.25" customHeight="1" x14ac:dyDescent="0.3">
      <c r="A7" s="8" t="s">
        <v>2</v>
      </c>
      <c r="B7" s="13">
        <v>98.286637999999968</v>
      </c>
      <c r="C7" s="13">
        <v>106.09893980000001</v>
      </c>
      <c r="D7" s="13">
        <v>113.99632334</v>
      </c>
      <c r="E7" s="13">
        <v>114.51051896</v>
      </c>
      <c r="F7" s="13">
        <v>105.55295773000002</v>
      </c>
      <c r="G7" s="13">
        <v>95.378075570000021</v>
      </c>
      <c r="H7" s="13">
        <v>428.34510649999737</v>
      </c>
      <c r="I7" s="13">
        <v>462.42538809999826</v>
      </c>
      <c r="J7" s="13">
        <v>457.80561419999913</v>
      </c>
      <c r="K7" s="13">
        <v>431.0798720990997</v>
      </c>
      <c r="L7" s="13">
        <v>362.68846358344433</v>
      </c>
      <c r="M7" s="13">
        <v>416.2</v>
      </c>
      <c r="N7" s="13">
        <v>352.80720000000002</v>
      </c>
      <c r="O7" s="13">
        <v>326.5</v>
      </c>
      <c r="P7" s="13">
        <v>387.39205313369945</v>
      </c>
      <c r="Q7" s="13">
        <v>435.16759999999999</v>
      </c>
      <c r="R7" s="13">
        <v>213.16918763762823</v>
      </c>
    </row>
    <row r="8" spans="1:24" ht="20.25" customHeight="1" x14ac:dyDescent="0.3">
      <c r="A8" s="8" t="s">
        <v>1</v>
      </c>
      <c r="B8" s="13">
        <v>27.984840000000005</v>
      </c>
      <c r="C8" s="13">
        <v>52.223628999999988</v>
      </c>
      <c r="D8" s="13">
        <v>126.281041</v>
      </c>
      <c r="E8" s="13">
        <v>119.242225</v>
      </c>
      <c r="F8" s="13">
        <v>211.39511800000002</v>
      </c>
      <c r="G8" s="13">
        <v>190.7108542</v>
      </c>
      <c r="H8" s="13">
        <v>200.12906459999974</v>
      </c>
      <c r="I8" s="13">
        <v>178.6619252000001</v>
      </c>
      <c r="J8" s="13">
        <v>284.1956715000004</v>
      </c>
      <c r="K8" s="13">
        <v>268.87722319999995</v>
      </c>
      <c r="L8" s="13">
        <v>176.30257712999997</v>
      </c>
      <c r="M8" s="13">
        <v>233</v>
      </c>
      <c r="N8" s="13">
        <v>246.54209999999998</v>
      </c>
      <c r="O8" s="13">
        <v>208.7</v>
      </c>
      <c r="P8" s="13">
        <v>265.60789506000003</v>
      </c>
      <c r="Q8" s="13">
        <v>375.63959999999997</v>
      </c>
      <c r="R8" s="13">
        <v>227.14626318920003</v>
      </c>
    </row>
    <row r="9" spans="1:24" ht="20.25" customHeight="1" x14ac:dyDescent="0.3">
      <c r="A9" s="9" t="s">
        <v>17</v>
      </c>
      <c r="B9" s="13">
        <f>B7-B8</f>
        <v>70.301797999999962</v>
      </c>
      <c r="C9" s="13">
        <f t="shared" ref="C9:P9" si="2">C7-C8</f>
        <v>53.875310800000022</v>
      </c>
      <c r="D9" s="13">
        <f t="shared" si="2"/>
        <v>-12.284717659999998</v>
      </c>
      <c r="E9" s="13">
        <f t="shared" si="2"/>
        <v>-4.7317060400000059</v>
      </c>
      <c r="F9" s="13">
        <f t="shared" si="2"/>
        <v>-105.84216027000001</v>
      </c>
      <c r="G9" s="13">
        <f t="shared" si="2"/>
        <v>-95.332778629999979</v>
      </c>
      <c r="H9" s="13">
        <f t="shared" si="2"/>
        <v>228.21604189999763</v>
      </c>
      <c r="I9" s="13">
        <f t="shared" si="2"/>
        <v>283.76346289999816</v>
      </c>
      <c r="J9" s="13">
        <f t="shared" si="2"/>
        <v>173.60994269999873</v>
      </c>
      <c r="K9" s="13">
        <f t="shared" si="2"/>
        <v>162.20264889909976</v>
      </c>
      <c r="L9" s="13">
        <f t="shared" si="2"/>
        <v>186.38588645344436</v>
      </c>
      <c r="M9" s="13">
        <f t="shared" si="2"/>
        <v>183.2</v>
      </c>
      <c r="N9" s="13">
        <f t="shared" si="2"/>
        <v>106.26510000000005</v>
      </c>
      <c r="O9" s="13">
        <f t="shared" si="2"/>
        <v>117.80000000000001</v>
      </c>
      <c r="P9" s="13">
        <f t="shared" si="2"/>
        <v>121.78415807369942</v>
      </c>
      <c r="Q9" s="13">
        <f t="shared" ref="Q9" si="3">Q7-Q8</f>
        <v>59.52800000000002</v>
      </c>
      <c r="R9" s="13">
        <f>R7-R8</f>
        <v>-13.977075551571801</v>
      </c>
    </row>
    <row r="10" spans="1:24" ht="20.25" customHeight="1" x14ac:dyDescent="0.3">
      <c r="A10" s="20" t="s">
        <v>18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2"/>
    </row>
    <row r="11" spans="1:24" ht="20.25" customHeight="1" x14ac:dyDescent="0.3">
      <c r="A11" s="6" t="s">
        <v>19</v>
      </c>
      <c r="B11" s="13">
        <v>40.199999999999996</v>
      </c>
      <c r="C11" s="13">
        <v>45</v>
      </c>
      <c r="D11" s="13">
        <v>61.699999999999996</v>
      </c>
      <c r="E11" s="13">
        <v>78.3</v>
      </c>
      <c r="F11" s="13">
        <v>78.900000000000006</v>
      </c>
      <c r="G11" s="13">
        <v>41.6</v>
      </c>
      <c r="H11" s="13">
        <v>104</v>
      </c>
      <c r="I11" s="13">
        <v>212.89999999999998</v>
      </c>
      <c r="J11" s="13">
        <v>294.2</v>
      </c>
      <c r="K11" s="13">
        <v>274.8</v>
      </c>
      <c r="L11" s="13">
        <v>192</v>
      </c>
      <c r="M11" s="13">
        <v>223.4</v>
      </c>
      <c r="N11" s="13">
        <v>184.92529999999999</v>
      </c>
      <c r="O11" s="13">
        <v>187.68210000000002</v>
      </c>
      <c r="P11" s="13">
        <f>P12+P13</f>
        <v>207.18745997349984</v>
      </c>
      <c r="Q11" s="13">
        <f>Q12+Q13</f>
        <v>245.37440000000001</v>
      </c>
      <c r="R11" s="13">
        <f t="shared" ref="R11" si="4">R12+R13</f>
        <v>133.06429884490009</v>
      </c>
    </row>
    <row r="12" spans="1:24" ht="20.25" customHeight="1" x14ac:dyDescent="0.3">
      <c r="A12" s="8" t="s">
        <v>2</v>
      </c>
      <c r="B12" s="13">
        <v>20.808887799999994</v>
      </c>
      <c r="C12" s="13">
        <v>21.554667700000003</v>
      </c>
      <c r="D12" s="13">
        <v>12.32677554</v>
      </c>
      <c r="E12" s="13">
        <v>20.716638060000001</v>
      </c>
      <c r="F12" s="13">
        <v>20.018011430000005</v>
      </c>
      <c r="G12" s="13">
        <v>13.831780269999999</v>
      </c>
      <c r="H12" s="13">
        <v>52.232863100000031</v>
      </c>
      <c r="I12" s="13">
        <v>162.62006349999976</v>
      </c>
      <c r="J12" s="13">
        <v>203.64591880000103</v>
      </c>
      <c r="K12" s="13">
        <v>214.57409726439965</v>
      </c>
      <c r="L12" s="13">
        <v>123.73389946533712</v>
      </c>
      <c r="M12" s="13">
        <v>147.9</v>
      </c>
      <c r="N12" s="13">
        <v>99.195599999999999</v>
      </c>
      <c r="O12" s="13">
        <v>92.35260000000001</v>
      </c>
      <c r="P12" s="13">
        <v>125.04687117349985</v>
      </c>
      <c r="Q12" s="13">
        <v>123.7628</v>
      </c>
      <c r="R12" s="15">
        <v>62.666110005700098</v>
      </c>
      <c r="S12" s="10"/>
      <c r="T12" s="10"/>
      <c r="U12" s="10"/>
      <c r="V12" s="10"/>
      <c r="W12" s="10"/>
      <c r="X12" s="10"/>
    </row>
    <row r="13" spans="1:24" ht="20.25" customHeight="1" x14ac:dyDescent="0.3">
      <c r="A13" s="8" t="s">
        <v>1</v>
      </c>
      <c r="B13" s="13">
        <v>19.393115000000002</v>
      </c>
      <c r="C13" s="13">
        <v>23.530740999999995</v>
      </c>
      <c r="D13" s="13">
        <v>49.408575000000035</v>
      </c>
      <c r="E13" s="13">
        <v>58.645033999999995</v>
      </c>
      <c r="F13" s="13">
        <v>58.869930000000011</v>
      </c>
      <c r="G13" s="13">
        <v>27.781241000000005</v>
      </c>
      <c r="H13" s="13">
        <v>51.724578000000001</v>
      </c>
      <c r="I13" s="13">
        <v>50.285660300000032</v>
      </c>
      <c r="J13" s="13">
        <v>90.627702499999998</v>
      </c>
      <c r="K13" s="13">
        <v>60.208726610000006</v>
      </c>
      <c r="L13" s="13">
        <v>68.74559471000002</v>
      </c>
      <c r="M13" s="13">
        <v>75.5</v>
      </c>
      <c r="N13" s="13">
        <v>85.729699999999994</v>
      </c>
      <c r="O13" s="13">
        <v>95.329499999999996</v>
      </c>
      <c r="P13" s="13">
        <v>82.140588799999989</v>
      </c>
      <c r="Q13" s="13">
        <v>121.61160000000001</v>
      </c>
      <c r="R13" s="15">
        <v>70.398188839199989</v>
      </c>
    </row>
    <row r="14" spans="1:24" ht="20.25" customHeight="1" x14ac:dyDescent="0.3">
      <c r="A14" s="9" t="s">
        <v>17</v>
      </c>
      <c r="B14" s="13">
        <f>B12-B13</f>
        <v>1.4157727999999921</v>
      </c>
      <c r="C14" s="13">
        <f t="shared" ref="C14:P14" si="5">C12-C13</f>
        <v>-1.9760732999999924</v>
      </c>
      <c r="D14" s="13">
        <f t="shared" si="5"/>
        <v>-37.081799460000035</v>
      </c>
      <c r="E14" s="13">
        <f t="shared" si="5"/>
        <v>-37.928395939999994</v>
      </c>
      <c r="F14" s="13">
        <f t="shared" si="5"/>
        <v>-38.851918570000009</v>
      </c>
      <c r="G14" s="13">
        <f t="shared" si="5"/>
        <v>-13.949460730000006</v>
      </c>
      <c r="H14" s="13">
        <f t="shared" si="5"/>
        <v>0.50828510000003035</v>
      </c>
      <c r="I14" s="13">
        <f t="shared" si="5"/>
        <v>112.33440319999973</v>
      </c>
      <c r="J14" s="13">
        <f t="shared" si="5"/>
        <v>113.01821630000103</v>
      </c>
      <c r="K14" s="13">
        <f t="shared" si="5"/>
        <v>154.36537065439964</v>
      </c>
      <c r="L14" s="13">
        <f t="shared" si="5"/>
        <v>54.988304755337097</v>
      </c>
      <c r="M14" s="13">
        <f t="shared" si="5"/>
        <v>72.400000000000006</v>
      </c>
      <c r="N14" s="13">
        <f t="shared" si="5"/>
        <v>13.465900000000005</v>
      </c>
      <c r="O14" s="13">
        <f t="shared" si="5"/>
        <v>-2.9768999999999863</v>
      </c>
      <c r="P14" s="13">
        <f t="shared" si="5"/>
        <v>42.906282373499863</v>
      </c>
      <c r="Q14" s="13">
        <f t="shared" ref="Q14:R14" si="6">Q12-Q13</f>
        <v>2.1511999999999887</v>
      </c>
      <c r="R14" s="13">
        <f t="shared" si="6"/>
        <v>-7.7320788334998909</v>
      </c>
    </row>
    <row r="15" spans="1:24" ht="20.25" customHeight="1" x14ac:dyDescent="0.3">
      <c r="A15" s="6" t="s">
        <v>20</v>
      </c>
      <c r="B15" s="13">
        <v>86.1</v>
      </c>
      <c r="C15" s="13">
        <v>113.3</v>
      </c>
      <c r="D15" s="13">
        <v>178.60000000000002</v>
      </c>
      <c r="E15" s="13">
        <v>155.39999999999998</v>
      </c>
      <c r="F15" s="13">
        <v>238</v>
      </c>
      <c r="G15" s="13">
        <v>244.5</v>
      </c>
      <c r="H15" s="13">
        <v>524.5</v>
      </c>
      <c r="I15" s="13">
        <v>428.20000000000005</v>
      </c>
      <c r="J15" s="13">
        <v>447.79999999999995</v>
      </c>
      <c r="K15" s="13">
        <v>425.2</v>
      </c>
      <c r="L15" s="13">
        <v>347.7</v>
      </c>
      <c r="M15" s="13">
        <v>425.9</v>
      </c>
      <c r="N15" s="13">
        <v>414.42399999999998</v>
      </c>
      <c r="O15" s="13">
        <v>347.4796</v>
      </c>
      <c r="P15" s="13">
        <f>P16+P17</f>
        <v>445.81248822019967</v>
      </c>
      <c r="Q15" s="13">
        <f>Q16+Q17</f>
        <v>565.43269999999995</v>
      </c>
      <c r="R15" s="13">
        <f t="shared" ref="R15" si="7">R16+R17</f>
        <v>307.25115198192822</v>
      </c>
    </row>
    <row r="16" spans="1:24" ht="20.25" customHeight="1" x14ac:dyDescent="0.3">
      <c r="A16" s="8" t="s">
        <v>2</v>
      </c>
      <c r="B16" s="13">
        <v>77.477750199999988</v>
      </c>
      <c r="C16" s="13">
        <v>84.544272100000001</v>
      </c>
      <c r="D16" s="13">
        <v>101.66954779999998</v>
      </c>
      <c r="E16" s="13">
        <v>93.793880900000005</v>
      </c>
      <c r="F16" s="13">
        <v>85.534946299999987</v>
      </c>
      <c r="G16" s="13">
        <v>81.546295299999997</v>
      </c>
      <c r="H16" s="13">
        <v>376.11224339999734</v>
      </c>
      <c r="I16" s="13">
        <v>299.80532459999853</v>
      </c>
      <c r="J16" s="13">
        <v>254.15969539999804</v>
      </c>
      <c r="K16" s="13">
        <v>216.50577483470008</v>
      </c>
      <c r="L16" s="13">
        <v>238.95456411810741</v>
      </c>
      <c r="M16" s="13">
        <v>268.39999999999998</v>
      </c>
      <c r="N16" s="13">
        <v>253.61160000000001</v>
      </c>
      <c r="O16" s="13">
        <v>234.11120000000003</v>
      </c>
      <c r="P16" s="13">
        <v>262.34518196019962</v>
      </c>
      <c r="Q16" s="13">
        <v>311.40479999999997</v>
      </c>
      <c r="R16" s="13">
        <v>150.50307763192816</v>
      </c>
    </row>
    <row r="17" spans="1:18" ht="20.25" customHeight="1" x14ac:dyDescent="0.3">
      <c r="A17" s="8" t="s">
        <v>1</v>
      </c>
      <c r="B17" s="13">
        <v>8.5917250000000003</v>
      </c>
      <c r="C17" s="13">
        <v>28.692888000000011</v>
      </c>
      <c r="D17" s="13">
        <v>76.872465999999989</v>
      </c>
      <c r="E17" s="13">
        <v>60.597191000000024</v>
      </c>
      <c r="F17" s="13">
        <v>152.52518800000004</v>
      </c>
      <c r="G17" s="13">
        <v>162.93489319999983</v>
      </c>
      <c r="H17" s="13">
        <v>148.40448659999998</v>
      </c>
      <c r="I17" s="13">
        <v>128.37626489999994</v>
      </c>
      <c r="J17" s="13">
        <v>193.56796900000003</v>
      </c>
      <c r="K17" s="13">
        <v>208.66849658999982</v>
      </c>
      <c r="L17" s="13">
        <v>107.55698241999987</v>
      </c>
      <c r="M17" s="13">
        <v>157.5</v>
      </c>
      <c r="N17" s="13">
        <v>160.8124</v>
      </c>
      <c r="O17" s="13">
        <v>113.36839999999999</v>
      </c>
      <c r="P17" s="13">
        <v>183.46730626000004</v>
      </c>
      <c r="Q17" s="13">
        <v>254.02789999999999</v>
      </c>
      <c r="R17" s="13">
        <v>156.74807435000005</v>
      </c>
    </row>
    <row r="18" spans="1:18" ht="20.25" customHeight="1" x14ac:dyDescent="0.3">
      <c r="A18" s="9" t="s">
        <v>3</v>
      </c>
      <c r="B18" s="13">
        <f>B16-B17</f>
        <v>68.886025199999992</v>
      </c>
      <c r="C18" s="13">
        <f t="shared" ref="C18:O18" si="8">C16-C17</f>
        <v>55.85138409999999</v>
      </c>
      <c r="D18" s="13">
        <f t="shared" si="8"/>
        <v>24.797081799999987</v>
      </c>
      <c r="E18" s="13">
        <f t="shared" si="8"/>
        <v>33.196689899999981</v>
      </c>
      <c r="F18" s="13">
        <f t="shared" si="8"/>
        <v>-66.990241700000055</v>
      </c>
      <c r="G18" s="13">
        <f t="shared" si="8"/>
        <v>-81.388597899999837</v>
      </c>
      <c r="H18" s="13">
        <f t="shared" si="8"/>
        <v>227.70775679999736</v>
      </c>
      <c r="I18" s="13">
        <f t="shared" si="8"/>
        <v>171.42905969999859</v>
      </c>
      <c r="J18" s="13">
        <f t="shared" si="8"/>
        <v>60.591726399998009</v>
      </c>
      <c r="K18" s="13">
        <f t="shared" si="8"/>
        <v>7.8372782447002578</v>
      </c>
      <c r="L18" s="13">
        <f t="shared" si="8"/>
        <v>131.39758169810756</v>
      </c>
      <c r="M18" s="13">
        <f t="shared" si="8"/>
        <v>110.89999999999998</v>
      </c>
      <c r="N18" s="13">
        <f t="shared" si="8"/>
        <v>92.799200000000013</v>
      </c>
      <c r="O18" s="13">
        <f t="shared" si="8"/>
        <v>120.74280000000003</v>
      </c>
      <c r="P18" s="13">
        <f>P16-P17</f>
        <v>78.877875700199581</v>
      </c>
      <c r="Q18" s="13">
        <f>Q16-Q17</f>
        <v>57.376899999999978</v>
      </c>
      <c r="R18" s="13">
        <f t="shared" ref="R18" si="9">R16-R17</f>
        <v>-6.2449967180718886</v>
      </c>
    </row>
    <row r="19" spans="1:18" ht="20.25" customHeight="1" x14ac:dyDescent="0.3">
      <c r="A19" s="20" t="s">
        <v>21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2"/>
    </row>
    <row r="20" spans="1:18" ht="20.25" customHeight="1" x14ac:dyDescent="0.3">
      <c r="A20" s="6" t="s">
        <v>16</v>
      </c>
      <c r="B20" s="13">
        <v>95.609386828160495</v>
      </c>
      <c r="C20" s="13">
        <v>125.33650039588282</v>
      </c>
      <c r="D20" s="13">
        <v>151.80037902716361</v>
      </c>
      <c r="E20" s="13">
        <v>97.253433208489383</v>
      </c>
      <c r="F20" s="13">
        <v>135.62176967479681</v>
      </c>
      <c r="G20" s="13">
        <v>90.265324725844508</v>
      </c>
      <c r="H20" s="13">
        <v>219.67385205217775</v>
      </c>
      <c r="I20" s="13">
        <v>102.00694678954345</v>
      </c>
      <c r="J20" s="13">
        <v>115.74106526621868</v>
      </c>
      <c r="K20" s="13">
        <v>94.333676880191106</v>
      </c>
      <c r="L20" s="13">
        <v>77.00343982985504</v>
      </c>
      <c r="M20" s="13">
        <v>120.4</v>
      </c>
      <c r="N20" s="13">
        <v>92.321210720887237</v>
      </c>
      <c r="O20" s="13">
        <v>89.290452162036402</v>
      </c>
      <c r="P20" s="13">
        <v>122.01918318107555</v>
      </c>
      <c r="Q20" s="13">
        <v>124.2</v>
      </c>
      <c r="R20" s="13">
        <v>122.8516209597237</v>
      </c>
    </row>
    <row r="21" spans="1:18" ht="20.25" customHeight="1" x14ac:dyDescent="0.3">
      <c r="A21" s="8" t="s">
        <v>2</v>
      </c>
      <c r="B21" s="13">
        <v>104.79744136460553</v>
      </c>
      <c r="C21" s="13">
        <v>107.9348931841302</v>
      </c>
      <c r="D21" s="13">
        <v>107.44580584354384</v>
      </c>
      <c r="E21" s="13">
        <v>100.43859649122805</v>
      </c>
      <c r="F21" s="13">
        <v>92.185989283842815</v>
      </c>
      <c r="G21" s="13">
        <v>90.360400713708984</v>
      </c>
      <c r="H21" s="13">
        <v>449.10227422823868</v>
      </c>
      <c r="I21" s="13">
        <v>107.95626729075309</v>
      </c>
      <c r="J21" s="13">
        <v>99.000968800830563</v>
      </c>
      <c r="K21" s="13">
        <v>94.162207436533521</v>
      </c>
      <c r="L21" s="13">
        <v>84.134863875079532</v>
      </c>
      <c r="M21" s="13">
        <v>114.8</v>
      </c>
      <c r="N21" s="13">
        <v>84.768668909178288</v>
      </c>
      <c r="O21" s="13">
        <v>92.533202270248466</v>
      </c>
      <c r="P21" s="13">
        <v>118.66311917594628</v>
      </c>
      <c r="Q21" s="13">
        <v>112.3</v>
      </c>
      <c r="R21" s="13">
        <v>105.48444162876973</v>
      </c>
    </row>
    <row r="22" spans="1:18" ht="20.25" customHeight="1" x14ac:dyDescent="0.3">
      <c r="A22" s="8" t="s">
        <v>1</v>
      </c>
      <c r="B22" s="13">
        <v>73.107049608355098</v>
      </c>
      <c r="C22" s="13">
        <v>186.42857142857144</v>
      </c>
      <c r="D22" s="13">
        <v>241.95402298850573</v>
      </c>
      <c r="E22" s="13">
        <v>94.378463974663504</v>
      </c>
      <c r="F22" s="13">
        <v>177.34489765100676</v>
      </c>
      <c r="G22" s="13">
        <v>90.217851767040429</v>
      </c>
      <c r="H22" s="13">
        <v>104.93557109862988</v>
      </c>
      <c r="I22" s="13">
        <v>89.273352452375548</v>
      </c>
      <c r="J22" s="13">
        <v>159.06896289282787</v>
      </c>
      <c r="K22" s="13">
        <v>94.609893873771156</v>
      </c>
      <c r="L22" s="13">
        <v>65.569918876638781</v>
      </c>
      <c r="M22" s="13">
        <v>132.1</v>
      </c>
      <c r="N22" s="13">
        <v>105.8120600858369</v>
      </c>
      <c r="O22" s="13">
        <v>84.65000500928646</v>
      </c>
      <c r="P22" s="13">
        <v>127.26903384156689</v>
      </c>
      <c r="Q22" s="13">
        <v>141.4</v>
      </c>
      <c r="R22" s="13">
        <v>145.30246640996791</v>
      </c>
    </row>
    <row r="23" spans="1:18" ht="20.25" customHeight="1" x14ac:dyDescent="0.3">
      <c r="A23" s="20" t="s">
        <v>18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2"/>
    </row>
    <row r="24" spans="1:18" ht="20.25" customHeight="1" x14ac:dyDescent="0.3">
      <c r="A24" s="6" t="s">
        <v>19</v>
      </c>
      <c r="B24" s="13">
        <v>63.9</v>
      </c>
      <c r="C24" s="13">
        <f>+C11/B11*100</f>
        <v>111.9402985074627</v>
      </c>
      <c r="D24" s="13">
        <f t="shared" ref="D24:G24" si="10">+D11/C11*100</f>
        <v>137.11111111111109</v>
      </c>
      <c r="E24" s="13">
        <f t="shared" si="10"/>
        <v>126.90437601296595</v>
      </c>
      <c r="F24" s="13">
        <f t="shared" si="10"/>
        <v>100.76628352490422</v>
      </c>
      <c r="G24" s="13">
        <f t="shared" si="10"/>
        <v>52.724968314321927</v>
      </c>
      <c r="H24" s="13">
        <v>250</v>
      </c>
      <c r="I24" s="13">
        <v>204.71153846153842</v>
      </c>
      <c r="J24" s="13">
        <v>138.18694222639738</v>
      </c>
      <c r="K24" s="13">
        <v>93.40584636301837</v>
      </c>
      <c r="L24" s="13">
        <v>69.868995633187765</v>
      </c>
      <c r="M24" s="13">
        <v>81.3</v>
      </c>
      <c r="N24" s="13">
        <v>82.777663384064454</v>
      </c>
      <c r="O24" s="13">
        <v>101.49076410853463</v>
      </c>
      <c r="P24" s="13">
        <v>110.39275968092508</v>
      </c>
      <c r="Q24" s="13">
        <v>130.5575623831752</v>
      </c>
      <c r="R24" s="13">
        <v>95.965553179429179</v>
      </c>
    </row>
    <row r="25" spans="1:18" ht="20.25" customHeight="1" x14ac:dyDescent="0.3">
      <c r="A25" s="8" t="s">
        <v>2</v>
      </c>
      <c r="B25" s="13">
        <v>56.7</v>
      </c>
      <c r="C25" s="13">
        <v>103.58394887399992</v>
      </c>
      <c r="D25" s="13">
        <v>57.188427636952163</v>
      </c>
      <c r="E25" s="13">
        <v>168.06210182683338</v>
      </c>
      <c r="F25" s="13">
        <v>96.627702680441701</v>
      </c>
      <c r="G25" s="13">
        <v>69.096674853881794</v>
      </c>
      <c r="H25" s="13">
        <v>377.62935848025865</v>
      </c>
      <c r="I25" s="13">
        <v>311.33668316948859</v>
      </c>
      <c r="J25" s="13">
        <v>125.22804038875641</v>
      </c>
      <c r="K25" s="13">
        <v>105.36626441069563</v>
      </c>
      <c r="L25" s="13">
        <v>57.664881755448505</v>
      </c>
      <c r="M25" s="13">
        <v>119.5</v>
      </c>
      <c r="N25" s="13">
        <v>67.06937119675456</v>
      </c>
      <c r="O25" s="13">
        <v>93.101508534652737</v>
      </c>
      <c r="P25" s="13">
        <v>135.40160606296888</v>
      </c>
      <c r="Q25" s="13">
        <v>116.97489739862424</v>
      </c>
      <c r="R25" s="13">
        <v>76.375689505537281</v>
      </c>
    </row>
    <row r="26" spans="1:18" ht="20.25" customHeight="1" x14ac:dyDescent="0.3">
      <c r="A26" s="8" t="s">
        <v>1</v>
      </c>
      <c r="B26" s="13">
        <v>73.919703087967548</v>
      </c>
      <c r="C26" s="13">
        <v>121.33554098967592</v>
      </c>
      <c r="D26" s="13">
        <v>209.9745817609398</v>
      </c>
      <c r="E26" s="13">
        <v>118.69404045755208</v>
      </c>
      <c r="F26" s="13">
        <v>100.38348686096769</v>
      </c>
      <c r="G26" s="13">
        <v>47.190885057957423</v>
      </c>
      <c r="H26" s="13">
        <v>186.18526796553118</v>
      </c>
      <c r="I26" s="13">
        <v>97.218116114934688</v>
      </c>
      <c r="J26" s="13">
        <v>180.22573823098421</v>
      </c>
      <c r="K26" s="13">
        <v>66.435234425147129</v>
      </c>
      <c r="L26" s="13">
        <v>114.17878865849028</v>
      </c>
      <c r="M26" s="13">
        <v>109.8</v>
      </c>
      <c r="N26" s="13">
        <v>113.5492715231788</v>
      </c>
      <c r="O26" s="13">
        <v>111.19775293743008</v>
      </c>
      <c r="P26" s="13">
        <v>86.164891303733086</v>
      </c>
      <c r="Q26" s="13">
        <v>148.05299277328768</v>
      </c>
      <c r="R26" s="13">
        <v>124.35956126409296</v>
      </c>
    </row>
    <row r="27" spans="1:18" ht="20.25" customHeight="1" x14ac:dyDescent="0.3">
      <c r="A27" s="6" t="s">
        <v>20</v>
      </c>
      <c r="B27" s="13">
        <v>124.6</v>
      </c>
      <c r="C27" s="13">
        <v>131.5911730545877</v>
      </c>
      <c r="D27" s="13">
        <v>157.63459841129745</v>
      </c>
      <c r="E27" s="13">
        <v>87.01007838745798</v>
      </c>
      <c r="F27" s="13">
        <v>153.15315315315317</v>
      </c>
      <c r="G27" s="13">
        <v>102.73109243697478</v>
      </c>
      <c r="H27" s="13">
        <v>214.51942740286302</v>
      </c>
      <c r="I27" s="13">
        <v>81.639656816015261</v>
      </c>
      <c r="J27" s="13">
        <v>104.57730032695001</v>
      </c>
      <c r="K27" s="13">
        <v>94.953104064314431</v>
      </c>
      <c r="L27" s="13">
        <v>81.773283160865475</v>
      </c>
      <c r="M27" s="13">
        <v>100.2</v>
      </c>
      <c r="N27" s="13">
        <v>97.305470767785863</v>
      </c>
      <c r="O27" s="13">
        <v>83.846398857209039</v>
      </c>
      <c r="P27" s="13">
        <v>128.2988947908398</v>
      </c>
      <c r="Q27" s="13">
        <v>121.58366011921402</v>
      </c>
      <c r="R27" s="13">
        <v>139.81594904733694</v>
      </c>
    </row>
    <row r="28" spans="1:18" ht="20.25" customHeight="1" x14ac:dyDescent="0.3">
      <c r="A28" s="8" t="s">
        <v>2</v>
      </c>
      <c r="B28" s="13">
        <v>135.69999999999999</v>
      </c>
      <c r="C28" s="13">
        <v>109.12071127744237</v>
      </c>
      <c r="D28" s="13">
        <v>120.25598573933429</v>
      </c>
      <c r="E28" s="13">
        <v>92.253661917044553</v>
      </c>
      <c r="F28" s="13">
        <v>91.194591245450894</v>
      </c>
      <c r="G28" s="13">
        <v>95.336817087590674</v>
      </c>
      <c r="H28" s="13">
        <v>461.22542050049191</v>
      </c>
      <c r="I28" s="13">
        <v>79.711663169963259</v>
      </c>
      <c r="J28" s="13">
        <v>84.774910431994158</v>
      </c>
      <c r="K28" s="13">
        <v>85.184936381813827</v>
      </c>
      <c r="L28" s="13">
        <v>110.36867921908629</v>
      </c>
      <c r="M28" s="13">
        <v>112.3</v>
      </c>
      <c r="N28" s="13">
        <v>94.490163934426235</v>
      </c>
      <c r="O28" s="13">
        <v>92.310919532071878</v>
      </c>
      <c r="P28" s="13">
        <v>112.06009189098106</v>
      </c>
      <c r="Q28" s="13">
        <v>110.58833930772761</v>
      </c>
      <c r="R28" s="13">
        <v>125.38152106934714</v>
      </c>
    </row>
    <row r="29" spans="1:18" ht="20.25" customHeight="1" x14ac:dyDescent="0.3">
      <c r="A29" s="8" t="s">
        <v>1</v>
      </c>
      <c r="B29" s="13">
        <v>71.400000000000006</v>
      </c>
      <c r="C29" s="13">
        <v>333.9595715644997</v>
      </c>
      <c r="D29" s="13">
        <v>267.91470415944178</v>
      </c>
      <c r="E29" s="13">
        <v>78.828212691914914</v>
      </c>
      <c r="F29" s="13">
        <v>251.7033966145398</v>
      </c>
      <c r="G29" s="13">
        <v>106.82490894553098</v>
      </c>
      <c r="H29" s="13">
        <v>91.082078053002121</v>
      </c>
      <c r="I29" s="13">
        <v>86.504301750672312</v>
      </c>
      <c r="J29" s="13">
        <v>150.78174236552394</v>
      </c>
      <c r="K29" s="13">
        <v>107.80114998778541</v>
      </c>
      <c r="L29" s="13">
        <v>51.544427729947138</v>
      </c>
      <c r="M29" s="13">
        <v>146.4</v>
      </c>
      <c r="N29" s="13">
        <v>102.1031111111111</v>
      </c>
      <c r="O29" s="13">
        <v>70.497299959455859</v>
      </c>
      <c r="P29" s="13">
        <v>161.83278639739876</v>
      </c>
      <c r="Q29" s="13">
        <v>138.45949187263119</v>
      </c>
      <c r="R29" s="13">
        <v>157.19148579919334</v>
      </c>
    </row>
    <row r="31" spans="1:18" x14ac:dyDescent="0.3">
      <c r="A31" s="14" t="s">
        <v>25</v>
      </c>
    </row>
  </sheetData>
  <mergeCells count="6">
    <mergeCell ref="P1:Q1"/>
    <mergeCell ref="A5:Q5"/>
    <mergeCell ref="A10:Q10"/>
    <mergeCell ref="A19:Q19"/>
    <mergeCell ref="A23:Q23"/>
    <mergeCell ref="A2:Q2"/>
  </mergeCells>
  <printOptions horizontalCentered="1"/>
  <pageMargins left="0.2" right="0.23622047244094491" top="0.25" bottom="0.28000000000000003" header="0.2" footer="0.31496062992125984"/>
  <pageSetup paperSize="9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sırtqı sawda</vt:lpstr>
      <vt:lpstr>'sırtqı sawda'!Область_печати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a.tursunov</dc:creator>
  <cp:lastModifiedBy>Пользователь</cp:lastModifiedBy>
  <cp:lastPrinted>2026-05-08T10:16:02Z</cp:lastPrinted>
  <dcterms:created xsi:type="dcterms:W3CDTF">2019-07-17T12:39:15Z</dcterms:created>
  <dcterms:modified xsi:type="dcterms:W3CDTF">2026-07-23T04:53:46Z</dcterms:modified>
</cp:coreProperties>
</file>