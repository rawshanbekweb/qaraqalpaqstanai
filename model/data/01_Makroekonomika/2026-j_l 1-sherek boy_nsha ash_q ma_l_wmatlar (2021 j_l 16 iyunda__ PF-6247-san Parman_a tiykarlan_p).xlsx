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0" yWindow="0" windowWidth="20490" windowHeight="7455"/>
  </bookViews>
  <sheets>
    <sheet name="ХИЗМАТ САФАРИ ХАРАЖАТЛАРИ " sheetId="16" r:id="rId1"/>
    <sheet name="АВТО МАЪЛУМОТ -2." sheetId="24" r:id="rId2"/>
  </sheets>
  <definedNames>
    <definedName name="_xlnm.Print_Titles" localSheetId="0">'ХИЗМАТ САФАРИ ХАРАЖАТЛАРИ '!$5:$6</definedName>
    <definedName name="_xlnm.Print_Area" localSheetId="0">'ХИЗМАТ САФАРИ ХАРАЖАТЛАРИ '!$A$1:$J$22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6" l="1"/>
  <c r="F10" i="16"/>
  <c r="F9" i="16"/>
  <c r="I8" i="16"/>
  <c r="F8" i="16"/>
  <c r="F7" i="16"/>
  <c r="H12" i="16" l="1"/>
  <c r="G12" i="16" l="1"/>
  <c r="J12" i="16"/>
  <c r="F12" i="16"/>
  <c r="I12" i="16"/>
</calcChain>
</file>

<file path=xl/sharedStrings.xml><?xml version="1.0" encoding="utf-8"?>
<sst xmlns="http://schemas.openxmlformats.org/spreadsheetml/2006/main" count="52" uniqueCount="50">
  <si>
    <t>Gentra</t>
  </si>
  <si>
    <t>95 143 DAV</t>
  </si>
  <si>
    <t>Cobalt</t>
  </si>
  <si>
    <t>95 231 CBA</t>
  </si>
  <si>
    <t>MAǴLÍWMAT</t>
  </si>
  <si>
    <t>№</t>
  </si>
  <si>
    <t>F.A.A.</t>
  </si>
  <si>
    <t xml:space="preserve">Buyrıq </t>
  </si>
  <si>
    <t>Nomeri</t>
  </si>
  <si>
    <t>sánesi</t>
  </si>
  <si>
    <t>nomeri</t>
  </si>
  <si>
    <t xml:space="preserve">Xızmet saparına jiberiliw ornı </t>
  </si>
  <si>
    <t>Sonnan:</t>
  </si>
  <si>
    <t>kúnlik</t>
  </si>
  <si>
    <t xml:space="preserve">mıymanxana </t>
  </si>
  <si>
    <t xml:space="preserve">transport </t>
  </si>
  <si>
    <t xml:space="preserve">awqatlanıw </t>
  </si>
  <si>
    <t xml:space="preserve">Aymaq atı </t>
  </si>
  <si>
    <t xml:space="preserve">Biriktirilgen </t>
  </si>
  <si>
    <t xml:space="preserve">Markası </t>
  </si>
  <si>
    <t xml:space="preserve">Islep shıǵarılǵan jılı </t>
  </si>
  <si>
    <t xml:space="preserve">Sanı </t>
  </si>
  <si>
    <t xml:space="preserve">6 a-qosımsha </t>
  </si>
  <si>
    <t>mıń som</t>
  </si>
  <si>
    <t>JAMI:</t>
  </si>
  <si>
    <t>Toshkent shahri</t>
  </si>
  <si>
    <t>Jámi, mıń somda</t>
  </si>
  <si>
    <t>3-x</t>
  </si>
  <si>
    <t>Rayon</t>
  </si>
  <si>
    <t xml:space="preserve">Boshqarma boshlig‘i </t>
  </si>
  <si>
    <t>T. Ganiev</t>
  </si>
  <si>
    <t xml:space="preserve">               М.O‘.</t>
  </si>
  <si>
    <t>Bosh hisobchi</t>
  </si>
  <si>
    <t>R. Aekeeva</t>
  </si>
  <si>
    <t>Абдуллаев Тохиржон Убайдуллаевич</t>
  </si>
  <si>
    <t>14.01.2026</t>
  </si>
  <si>
    <t>Тажибаева Зухра Муратбаевна</t>
  </si>
  <si>
    <t>12-x</t>
  </si>
  <si>
    <t>27.02.2026</t>
  </si>
  <si>
    <t>Машерипова Айгул Шразатдиновна</t>
  </si>
  <si>
    <t>17-x</t>
  </si>
  <si>
    <t>19.03.2026</t>
  </si>
  <si>
    <t xml:space="preserve">Qaraqalpaqstan Respublikası statistika basqarması shólkemlerinde 2026-jıl yanvar-mart aylarında 
 ámelge asırılǵan xızmet saparları qárejetleri tuwrısında </t>
  </si>
  <si>
    <t xml:space="preserve">Qoraqalpog‘iston 
Respublikasi </t>
  </si>
  <si>
    <t>Rahbar</t>
  </si>
  <si>
    <t>Navbatchi</t>
  </si>
  <si>
    <t>Perepis</t>
  </si>
  <si>
    <t>Damas -2</t>
  </si>
  <si>
    <t>95 708 HBA</t>
  </si>
  <si>
    <t xml:space="preserve">2026-jıl 1-sherek Qaraqalpaqstan Respublikası statistika basqarmasınıń avtotransport quralları boyınsha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</si>
</sst>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#,##0.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family val="2"/>
    </font>
    <font>
      <b/>
      <sz val="12"/>
      <color rgb="FF00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61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Alignment="1">
      <alignment horizontal="center" vertical="center"/>
    </xf>
    <xf numFmtId="0" fontId="13" fillId="0" borderId="0" xfId="3" applyFont="1" applyFill="1"/>
    <xf numFmtId="0" fontId="13" fillId="0" borderId="0" xfId="3" applyFont="1" applyFill="1" applyAlignment="1">
      <alignment horizontal="right"/>
    </xf>
    <xf numFmtId="0" fontId="13" fillId="0" borderId="3" xfId="3" applyFont="1" applyFill="1" applyBorder="1"/>
    <xf numFmtId="0" fontId="16" fillId="0" borderId="0" xfId="3" applyFont="1" applyFill="1"/>
    <xf numFmtId="0" fontId="15" fillId="0" borderId="11" xfId="0" applyFont="1" applyFill="1" applyBorder="1" applyAlignment="1">
      <alignment horizontal="center" vertical="center" wrapText="1"/>
    </xf>
    <xf numFmtId="0" fontId="3" fillId="0" borderId="12" xfId="3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5" fillId="0" borderId="12" xfId="4" applyFont="1" applyFill="1" applyBorder="1" applyAlignment="1">
      <alignment horizontal="center" vertical="center"/>
    </xf>
    <xf numFmtId="0" fontId="3" fillId="0" borderId="12" xfId="5" applyFont="1" applyFill="1" applyBorder="1" applyAlignment="1">
      <alignment horizontal="left" vertical="center" wrapText="1"/>
    </xf>
    <xf numFmtId="14" fontId="3" fillId="0" borderId="12" xfId="3" applyNumberFormat="1" applyFont="1" applyFill="1" applyBorder="1" applyAlignment="1">
      <alignment horizontal="center" vertical="center" wrapText="1"/>
    </xf>
    <xf numFmtId="164" fontId="3" fillId="0" borderId="12" xfId="3" applyNumberFormat="1" applyFont="1" applyFill="1" applyBorder="1" applyAlignment="1">
      <alignment horizontal="center" vertical="center" wrapText="1"/>
    </xf>
    <xf numFmtId="0" fontId="3" fillId="0" borderId="12" xfId="3" applyFont="1" applyFill="1" applyBorder="1" applyAlignment="1">
      <alignment horizontal="center" vertical="center"/>
    </xf>
    <xf numFmtId="164" fontId="11" fillId="0" borderId="12" xfId="3" applyNumberFormat="1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center"/>
    </xf>
    <xf numFmtId="0" fontId="5" fillId="0" borderId="0" xfId="4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164" fontId="11" fillId="0" borderId="0" xfId="3" applyNumberFormat="1" applyFont="1" applyFill="1" applyBorder="1" applyAlignment="1">
      <alignment horizontal="center"/>
    </xf>
    <xf numFmtId="4" fontId="3" fillId="0" borderId="0" xfId="3" applyNumberFormat="1" applyFont="1" applyFill="1" applyBorder="1" applyAlignment="1">
      <alignment horizontal="center"/>
    </xf>
    <xf numFmtId="164" fontId="3" fillId="0" borderId="0" xfId="3" applyNumberFormat="1" applyFont="1" applyFill="1" applyBorder="1" applyAlignment="1">
      <alignment horizontal="center"/>
    </xf>
    <xf numFmtId="0" fontId="5" fillId="0" borderId="0" xfId="5" applyFont="1" applyFill="1" applyBorder="1" applyAlignment="1">
      <alignment horizontal="left" vertical="center" wrapText="1"/>
    </xf>
    <xf numFmtId="0" fontId="5" fillId="0" borderId="0" xfId="5" applyFont="1" applyFill="1" applyBorder="1" applyAlignment="1">
      <alignment vertical="center" wrapText="1"/>
    </xf>
    <xf numFmtId="0" fontId="17" fillId="0" borderId="0" xfId="5" applyFont="1" applyFill="1" applyBorder="1" applyAlignment="1">
      <alignment horizontal="center" vertical="center" wrapText="1"/>
    </xf>
    <xf numFmtId="0" fontId="5" fillId="0" borderId="0" xfId="5" applyFont="1" applyFill="1" applyBorder="1" applyAlignment="1">
      <alignment horizontal="center" vertical="center" wrapText="1"/>
    </xf>
    <xf numFmtId="0" fontId="5" fillId="0" borderId="0" xfId="7" applyFont="1" applyFill="1" applyBorder="1" applyAlignment="1">
      <alignment horizontal="center" wrapText="1"/>
    </xf>
    <xf numFmtId="0" fontId="18" fillId="0" borderId="0" xfId="5" applyFont="1" applyFill="1" applyBorder="1" applyAlignment="1">
      <alignment vertical="center" wrapText="1"/>
    </xf>
    <xf numFmtId="0" fontId="13" fillId="0" borderId="0" xfId="5" applyFont="1" applyFill="1" applyAlignment="1">
      <alignment horizontal="left" vertical="center" wrapText="1"/>
    </xf>
    <xf numFmtId="0" fontId="5" fillId="0" borderId="0" xfId="4" applyFont="1" applyFill="1" applyBorder="1" applyAlignment="1">
      <alignment horizontal="center" vertical="center" wrapText="1"/>
    </xf>
    <xf numFmtId="0" fontId="13" fillId="0" borderId="0" xfId="4" applyFont="1" applyFill="1" applyAlignment="1">
      <alignment horizontal="center" vertical="center" wrapText="1"/>
    </xf>
    <xf numFmtId="0" fontId="17" fillId="0" borderId="0" xfId="4" applyFont="1" applyFill="1" applyBorder="1" applyAlignment="1">
      <alignment horizontal="left" vertical="center" wrapText="1"/>
    </xf>
    <xf numFmtId="0" fontId="19" fillId="0" borderId="0" xfId="6" applyFont="1" applyAlignment="1">
      <alignment horizontal="center" vertical="center"/>
    </xf>
    <xf numFmtId="0" fontId="5" fillId="0" borderId="0" xfId="5" applyFont="1" applyFill="1" applyBorder="1" applyAlignment="1">
      <alignment horizontal="center" vertical="center" wrapText="1"/>
    </xf>
    <xf numFmtId="0" fontId="5" fillId="0" borderId="0" xfId="7" applyFont="1" applyFill="1" applyBorder="1" applyAlignment="1">
      <alignment horizontal="center" wrapText="1"/>
    </xf>
    <xf numFmtId="0" fontId="5" fillId="0" borderId="0" xfId="5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7" xfId="3" applyFont="1" applyFill="1" applyBorder="1" applyAlignment="1">
      <alignment horizontal="center" vertical="center" wrapText="1"/>
    </xf>
    <xf numFmtId="0" fontId="15" fillId="0" borderId="9" xfId="3" applyFont="1" applyFill="1" applyBorder="1" applyAlignment="1">
      <alignment horizontal="center" vertical="center" wrapText="1"/>
    </xf>
    <xf numFmtId="0" fontId="15" fillId="0" borderId="8" xfId="3" applyFont="1" applyFill="1" applyBorder="1" applyAlignment="1">
      <alignment horizontal="center" vertical="center" wrapText="1"/>
    </xf>
    <xf numFmtId="0" fontId="14" fillId="0" borderId="0" xfId="3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2" xfId="3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8">
    <cellStyle name="Обычный" xfId="0" builtinId="0"/>
    <cellStyle name="Обычный 2 2" xfId="3"/>
    <cellStyle name="Обычный 4" xfId="2"/>
    <cellStyle name="Обычный_1724 Штраф янгиси" xfId="6"/>
    <cellStyle name="Обычный_Информация о всех начислениях" xfId="5"/>
    <cellStyle name="Обычный_Итоги произ-хоз.деят. 2011" xfId="4"/>
    <cellStyle name="Обычный_Распределение Госзаказ 2011" xfId="7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1"/>
  <sheetViews>
    <sheetView tabSelected="1" view="pageBreakPreview" zoomScale="115" zoomScaleNormal="70" zoomScaleSheetLayoutView="115" workbookViewId="0">
      <selection activeCell="A5" sqref="A5:A6"/>
    </sheetView>
  </sheetViews>
  <sheetFormatPr defaultRowHeight="15.75" x14ac:dyDescent="0.25"/>
  <cols>
    <col min="1" max="1" width="4" style="6" customWidth="1"/>
    <col min="2" max="2" width="32.42578125" style="6" customWidth="1"/>
    <col min="3" max="3" width="15.85546875" style="6" customWidth="1"/>
    <col min="4" max="4" width="13.7109375" style="6" customWidth="1"/>
    <col min="5" max="5" width="31.7109375" style="6" customWidth="1"/>
    <col min="6" max="6" width="20.7109375" style="6" customWidth="1"/>
    <col min="7" max="7" width="19.28515625" style="6" customWidth="1"/>
    <col min="8" max="8" width="19.140625" style="6" customWidth="1"/>
    <col min="9" max="9" width="20.140625" style="6" customWidth="1"/>
    <col min="10" max="10" width="19.7109375" style="6" customWidth="1"/>
    <col min="11" max="16384" width="9.140625" style="6"/>
  </cols>
  <sheetData>
    <row r="1" spans="1:10" x14ac:dyDescent="0.25">
      <c r="J1" s="7" t="s">
        <v>22</v>
      </c>
    </row>
    <row r="2" spans="1:10" ht="50.25" customHeight="1" x14ac:dyDescent="0.25">
      <c r="A2" s="46" t="s">
        <v>42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22.5" customHeight="1" x14ac:dyDescent="0.25">
      <c r="A3" s="46" t="s">
        <v>4</v>
      </c>
      <c r="B3" s="46"/>
      <c r="C3" s="46"/>
      <c r="D3" s="46"/>
      <c r="E3" s="46"/>
      <c r="F3" s="46"/>
      <c r="G3" s="46"/>
      <c r="H3" s="46"/>
      <c r="I3" s="46"/>
      <c r="J3" s="46"/>
    </row>
    <row r="4" spans="1:10" ht="16.5" thickBot="1" x14ac:dyDescent="0.3">
      <c r="A4" s="8"/>
      <c r="J4" s="35" t="s">
        <v>23</v>
      </c>
    </row>
    <row r="5" spans="1:10" s="9" customFormat="1" ht="22.5" customHeight="1" thickBot="1" x14ac:dyDescent="0.3">
      <c r="A5" s="39" t="s">
        <v>5</v>
      </c>
      <c r="B5" s="39" t="s">
        <v>6</v>
      </c>
      <c r="C5" s="41" t="s">
        <v>7</v>
      </c>
      <c r="D5" s="42"/>
      <c r="E5" s="39" t="s">
        <v>11</v>
      </c>
      <c r="F5" s="39" t="s">
        <v>26</v>
      </c>
      <c r="G5" s="43" t="s">
        <v>12</v>
      </c>
      <c r="H5" s="44"/>
      <c r="I5" s="44"/>
      <c r="J5" s="45"/>
    </row>
    <row r="6" spans="1:10" s="9" customFormat="1" ht="21" customHeight="1" thickBot="1" x14ac:dyDescent="0.3">
      <c r="A6" s="40"/>
      <c r="B6" s="40"/>
      <c r="C6" s="10" t="s">
        <v>10</v>
      </c>
      <c r="D6" s="10" t="s">
        <v>9</v>
      </c>
      <c r="E6" s="40"/>
      <c r="F6" s="40"/>
      <c r="G6" s="10" t="s">
        <v>13</v>
      </c>
      <c r="H6" s="10" t="s">
        <v>14</v>
      </c>
      <c r="I6" s="10" t="s">
        <v>15</v>
      </c>
      <c r="J6" s="10" t="s">
        <v>16</v>
      </c>
    </row>
    <row r="7" spans="1:10" ht="17.25" customHeight="1" x14ac:dyDescent="0.25">
      <c r="A7" s="11">
        <v>1</v>
      </c>
      <c r="B7" s="56" t="s">
        <v>34</v>
      </c>
      <c r="C7" s="11" t="s">
        <v>27</v>
      </c>
      <c r="D7" s="15" t="s">
        <v>35</v>
      </c>
      <c r="E7" s="12" t="s">
        <v>28</v>
      </c>
      <c r="F7" s="16">
        <f>G7+H7+I7+J7</f>
        <v>296.87200000000001</v>
      </c>
      <c r="G7" s="16"/>
      <c r="H7" s="16">
        <v>130</v>
      </c>
      <c r="I7" s="16">
        <v>84.872</v>
      </c>
      <c r="J7" s="16">
        <v>82</v>
      </c>
    </row>
    <row r="8" spans="1:10" ht="17.25" customHeight="1" x14ac:dyDescent="0.25">
      <c r="A8" s="11">
        <v>3</v>
      </c>
      <c r="B8" s="56" t="s">
        <v>36</v>
      </c>
      <c r="C8" s="11" t="s">
        <v>37</v>
      </c>
      <c r="D8" s="15" t="s">
        <v>38</v>
      </c>
      <c r="E8" s="12" t="s">
        <v>25</v>
      </c>
      <c r="F8" s="16">
        <f>G8+H8+I8+J8</f>
        <v>1068.19</v>
      </c>
      <c r="G8" s="16"/>
      <c r="H8" s="16"/>
      <c r="I8" s="16">
        <f>453.2+370.19</f>
        <v>823.39</v>
      </c>
      <c r="J8" s="16">
        <v>244.8</v>
      </c>
    </row>
    <row r="9" spans="1:10" ht="17.25" customHeight="1" x14ac:dyDescent="0.25">
      <c r="A9" s="11">
        <v>2</v>
      </c>
      <c r="B9" s="56" t="s">
        <v>39</v>
      </c>
      <c r="C9" s="11" t="s">
        <v>40</v>
      </c>
      <c r="D9" s="15" t="s">
        <v>41</v>
      </c>
      <c r="E9" s="12" t="s">
        <v>25</v>
      </c>
      <c r="F9" s="16">
        <f t="shared" ref="F9:F11" si="0">G9+H9+I9+J9</f>
        <v>1514.3720000000001</v>
      </c>
      <c r="G9" s="16"/>
      <c r="H9" s="16"/>
      <c r="I9" s="16">
        <v>1089.5360000000001</v>
      </c>
      <c r="J9" s="16">
        <v>424.83600000000001</v>
      </c>
    </row>
    <row r="10" spans="1:10" ht="17.25" customHeight="1" x14ac:dyDescent="0.25">
      <c r="A10" s="11"/>
      <c r="B10" s="56"/>
      <c r="C10" s="11"/>
      <c r="D10" s="15"/>
      <c r="E10" s="12"/>
      <c r="F10" s="16">
        <f t="shared" si="0"/>
        <v>0</v>
      </c>
      <c r="G10" s="16"/>
      <c r="H10" s="16"/>
      <c r="I10" s="16"/>
      <c r="J10" s="16"/>
    </row>
    <row r="11" spans="1:10" ht="17.25" customHeight="1" x14ac:dyDescent="0.25">
      <c r="A11" s="11"/>
      <c r="B11" s="56"/>
      <c r="C11" s="11"/>
      <c r="D11" s="15"/>
      <c r="E11" s="12"/>
      <c r="F11" s="16">
        <f t="shared" si="0"/>
        <v>0</v>
      </c>
      <c r="G11" s="16"/>
      <c r="H11" s="16"/>
      <c r="I11" s="16"/>
      <c r="J11" s="16"/>
    </row>
    <row r="12" spans="1:10" ht="21.75" customHeight="1" x14ac:dyDescent="0.25">
      <c r="A12" s="17"/>
      <c r="B12" s="13" t="s">
        <v>24</v>
      </c>
      <c r="C12" s="14"/>
      <c r="D12" s="14"/>
      <c r="E12" s="14"/>
      <c r="F12" s="18">
        <f>SUM(F7:F11)</f>
        <v>2879.4340000000002</v>
      </c>
      <c r="G12" s="18">
        <f>SUM(G7:G11)</f>
        <v>0</v>
      </c>
      <c r="H12" s="18">
        <f>SUM(H7:H11)</f>
        <v>130</v>
      </c>
      <c r="I12" s="18">
        <f>SUM(I7:I11)</f>
        <v>1997.798</v>
      </c>
      <c r="J12" s="18">
        <f>SUM(J7:J11)</f>
        <v>751.63599999999997</v>
      </c>
    </row>
    <row r="13" spans="1:10" x14ac:dyDescent="0.25">
      <c r="A13" s="19"/>
      <c r="B13" s="20"/>
      <c r="C13" s="21"/>
      <c r="D13" s="21"/>
      <c r="E13" s="21"/>
      <c r="F13" s="22"/>
      <c r="G13" s="22"/>
      <c r="H13" s="22"/>
      <c r="I13" s="22"/>
      <c r="J13" s="23"/>
    </row>
    <row r="14" spans="1:10" x14ac:dyDescent="0.25">
      <c r="A14" s="19"/>
      <c r="B14" s="20"/>
      <c r="C14" s="21"/>
      <c r="D14" s="21"/>
      <c r="E14" s="21"/>
      <c r="F14" s="22"/>
      <c r="G14" s="22"/>
      <c r="H14" s="22"/>
      <c r="I14" s="22"/>
      <c r="J14" s="23"/>
    </row>
    <row r="15" spans="1:10" x14ac:dyDescent="0.25">
      <c r="A15" s="19"/>
      <c r="B15" s="21"/>
      <c r="C15" s="21"/>
      <c r="D15" s="21"/>
      <c r="E15" s="21"/>
      <c r="F15" s="24"/>
      <c r="G15" s="24"/>
      <c r="H15" s="24"/>
      <c r="I15" s="24"/>
      <c r="J15" s="23"/>
    </row>
    <row r="16" spans="1:10" ht="20.25" x14ac:dyDescent="0.25">
      <c r="A16" s="19"/>
      <c r="B16" s="25"/>
      <c r="C16" s="36" t="s">
        <v>29</v>
      </c>
      <c r="D16" s="36"/>
      <c r="E16" s="26"/>
      <c r="F16" s="26"/>
      <c r="G16" s="26"/>
      <c r="H16" s="37" t="s">
        <v>30</v>
      </c>
      <c r="I16" s="37"/>
      <c r="J16" s="27"/>
    </row>
    <row r="17" spans="1:10" ht="20.25" x14ac:dyDescent="0.25">
      <c r="A17" s="19"/>
      <c r="B17" s="25"/>
      <c r="C17" s="28"/>
      <c r="D17" s="28"/>
      <c r="E17" s="26"/>
      <c r="F17" s="26"/>
      <c r="G17" s="26"/>
      <c r="H17" s="29"/>
      <c r="I17" s="29"/>
      <c r="J17" s="27"/>
    </row>
    <row r="18" spans="1:10" ht="20.25" x14ac:dyDescent="0.25">
      <c r="A18" s="19"/>
      <c r="B18" s="38" t="s">
        <v>31</v>
      </c>
      <c r="C18" s="38"/>
      <c r="D18" s="28"/>
      <c r="E18" s="26"/>
      <c r="F18" s="26"/>
      <c r="G18" s="26"/>
      <c r="H18" s="29"/>
      <c r="I18" s="29"/>
      <c r="J18" s="27"/>
    </row>
    <row r="19" spans="1:10" ht="20.25" x14ac:dyDescent="0.25">
      <c r="A19" s="19"/>
      <c r="B19" s="38"/>
      <c r="C19" s="38"/>
      <c r="D19" s="25"/>
      <c r="E19" s="25"/>
      <c r="F19" s="25"/>
      <c r="G19" s="25"/>
      <c r="H19" s="27"/>
      <c r="I19" s="30"/>
      <c r="J19" s="30"/>
    </row>
    <row r="20" spans="1:10" ht="20.25" x14ac:dyDescent="0.25">
      <c r="A20" s="19"/>
      <c r="B20" s="31"/>
      <c r="C20" s="36" t="s">
        <v>32</v>
      </c>
      <c r="D20" s="36"/>
      <c r="E20" s="26"/>
      <c r="F20" s="26"/>
      <c r="G20" s="26"/>
      <c r="H20" s="37" t="s">
        <v>33</v>
      </c>
      <c r="I20" s="37"/>
      <c r="J20" s="27"/>
    </row>
    <row r="21" spans="1:10" ht="20.25" x14ac:dyDescent="0.25">
      <c r="A21" s="19"/>
      <c r="B21" s="21"/>
      <c r="C21" s="32"/>
      <c r="D21" s="33"/>
      <c r="E21" s="32"/>
      <c r="F21" s="34"/>
      <c r="G21" s="34"/>
      <c r="H21" s="34"/>
      <c r="I21" s="33"/>
      <c r="J21" s="33"/>
    </row>
  </sheetData>
  <mergeCells count="14">
    <mergeCell ref="G5:J5"/>
    <mergeCell ref="A2:J2"/>
    <mergeCell ref="A3:J3"/>
    <mergeCell ref="A5:A6"/>
    <mergeCell ref="B5:B6"/>
    <mergeCell ref="C5:D5"/>
    <mergeCell ref="E5:E6"/>
    <mergeCell ref="F5:F6"/>
    <mergeCell ref="C16:D16"/>
    <mergeCell ref="H16:I16"/>
    <mergeCell ref="B18:C18"/>
    <mergeCell ref="B19:C19"/>
    <mergeCell ref="C20:D20"/>
    <mergeCell ref="H20:I20"/>
  </mergeCells>
  <printOptions horizontalCentered="1"/>
  <pageMargins left="0.19685039370078741" right="0.19685039370078741" top="0.35433070866141736" bottom="0.27559055118110237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"/>
  <sheetViews>
    <sheetView view="pageBreakPreview" zoomScale="145" zoomScaleNormal="100" zoomScaleSheetLayoutView="145" workbookViewId="0">
      <selection activeCell="A3" sqref="A3:A5"/>
    </sheetView>
  </sheetViews>
  <sheetFormatPr defaultRowHeight="15" x14ac:dyDescent="0.25"/>
  <cols>
    <col min="1" max="1" width="29.5703125" customWidth="1"/>
    <col min="2" max="2" width="22.140625" style="4" customWidth="1"/>
    <col min="3" max="3" width="19.7109375" customWidth="1"/>
    <col min="4" max="4" width="29.85546875" customWidth="1"/>
    <col min="5" max="5" width="24.140625" customWidth="1"/>
    <col min="6" max="6" width="22.28515625" style="5" customWidth="1"/>
  </cols>
  <sheetData>
    <row r="1" spans="1:6" ht="65.25" customHeight="1" x14ac:dyDescent="0.25">
      <c r="A1" s="47" t="s">
        <v>49</v>
      </c>
      <c r="B1" s="47"/>
      <c r="C1" s="47"/>
      <c r="D1" s="47"/>
      <c r="E1" s="47"/>
      <c r="F1" s="47"/>
    </row>
    <row r="2" spans="1:6" ht="41.25" customHeight="1" x14ac:dyDescent="0.25">
      <c r="A2" s="48" t="s">
        <v>4</v>
      </c>
      <c r="B2" s="48"/>
      <c r="C2" s="48"/>
      <c r="D2" s="48"/>
      <c r="E2" s="48"/>
      <c r="F2" s="48"/>
    </row>
    <row r="3" spans="1:6" ht="15" customHeight="1" x14ac:dyDescent="0.25">
      <c r="A3" s="49" t="s">
        <v>17</v>
      </c>
      <c r="B3" s="50" t="s">
        <v>18</v>
      </c>
      <c r="C3" s="49" t="s">
        <v>19</v>
      </c>
      <c r="D3" s="49" t="s">
        <v>8</v>
      </c>
      <c r="E3" s="49" t="s">
        <v>20</v>
      </c>
      <c r="F3" s="53" t="s">
        <v>21</v>
      </c>
    </row>
    <row r="4" spans="1:6" ht="15" customHeight="1" x14ac:dyDescent="0.25">
      <c r="A4" s="49"/>
      <c r="B4" s="51"/>
      <c r="C4" s="49"/>
      <c r="D4" s="49"/>
      <c r="E4" s="49"/>
      <c r="F4" s="54"/>
    </row>
    <row r="5" spans="1:6" ht="15" customHeight="1" x14ac:dyDescent="0.25">
      <c r="A5" s="49"/>
      <c r="B5" s="52"/>
      <c r="C5" s="49"/>
      <c r="D5" s="49"/>
      <c r="E5" s="49"/>
      <c r="F5" s="55"/>
    </row>
    <row r="6" spans="1:6" s="4" customFormat="1" ht="27.75" customHeight="1" x14ac:dyDescent="0.25">
      <c r="A6" s="57" t="s">
        <v>43</v>
      </c>
      <c r="B6" s="58" t="s">
        <v>44</v>
      </c>
      <c r="C6" s="3" t="s">
        <v>0</v>
      </c>
      <c r="D6" s="2" t="s">
        <v>1</v>
      </c>
      <c r="E6" s="2">
        <v>2021</v>
      </c>
      <c r="F6" s="1">
        <v>1</v>
      </c>
    </row>
    <row r="7" spans="1:6" s="4" customFormat="1" ht="27.75" customHeight="1" x14ac:dyDescent="0.25">
      <c r="A7" s="59"/>
      <c r="B7" s="58" t="s">
        <v>45</v>
      </c>
      <c r="C7" s="3" t="s">
        <v>2</v>
      </c>
      <c r="D7" s="2" t="s">
        <v>3</v>
      </c>
      <c r="E7" s="2">
        <v>2013</v>
      </c>
      <c r="F7" s="1">
        <v>1</v>
      </c>
    </row>
    <row r="8" spans="1:6" ht="23.25" customHeight="1" x14ac:dyDescent="0.25">
      <c r="A8" s="60"/>
      <c r="B8" s="58" t="s">
        <v>46</v>
      </c>
      <c r="C8" s="3" t="s">
        <v>47</v>
      </c>
      <c r="D8" s="2" t="s">
        <v>48</v>
      </c>
      <c r="E8" s="2">
        <v>2025</v>
      </c>
      <c r="F8" s="1">
        <v>1</v>
      </c>
    </row>
    <row r="9" spans="1:6" ht="23.25" customHeight="1" x14ac:dyDescent="0.25"/>
  </sheetData>
  <mergeCells count="9">
    <mergeCell ref="A1:F1"/>
    <mergeCell ref="A2:F2"/>
    <mergeCell ref="A3:A5"/>
    <mergeCell ref="B3:B5"/>
    <mergeCell ref="C3:C5"/>
    <mergeCell ref="D3:D5"/>
    <mergeCell ref="E3:E5"/>
    <mergeCell ref="F3:F5"/>
    <mergeCell ref="A6:A8"/>
  </mergeCells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ХИЗМАТ САФАРИ ХАРАЖАТЛАРИ </vt:lpstr>
      <vt:lpstr>АВТО МАЪЛУМОТ -2.</vt:lpstr>
      <vt:lpstr>'ХИЗМАТ САФАРИ ХАРАЖАТЛАРИ '!Заголовки_для_печати</vt:lpstr>
      <vt:lpstr>'ХИЗМАТ САФАРИ ХАРАЖАТЛАРИ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2026-04-27T09:45:44Z</dcterms:modified>
</cp:coreProperties>
</file>