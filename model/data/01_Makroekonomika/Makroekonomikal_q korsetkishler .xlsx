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defaultThemeVersion="124226"/>
  <bookViews>
    <workbookView xWindow="120" yWindow="120" windowWidth="9720" windowHeight="7320"/>
  </bookViews>
  <sheets>
    <sheet name="QQ" sheetId="6" r:id="rId1"/>
  </sheets>
  <definedNames>
    <definedName name="_xlnm.Print_Area" localSheetId="0">QQ!$A$1:$S$31</definedName>
  </definedNames>
  <calcPr calcId="144525"/>
</workbook>
</file>

<file path=xl/calcChain.xml><?xml version="1.0" encoding="utf-8"?>
<calcChain xmlns="http://schemas.openxmlformats.org/spreadsheetml/2006/main">
  <c r="S27" i="6" l="1"/>
  <c r="R27" i="6"/>
  <c r="Q27" i="6"/>
  <c r="P27" i="6"/>
  <c r="O27" i="6"/>
  <c r="N27" i="6"/>
  <c r="M27" i="6"/>
  <c r="L27" i="6"/>
  <c r="K27" i="6"/>
  <c r="J27" i="6"/>
  <c r="I27" i="6"/>
  <c r="H27" i="6"/>
  <c r="G27" i="6"/>
  <c r="F27" i="6"/>
  <c r="E27" i="6"/>
  <c r="D27" i="6"/>
  <c r="C27" i="6"/>
</calcChain>
</file>

<file path=xl/sharedStrings.xml><?xml version="1.0" encoding="utf-8"?>
<sst xmlns="http://schemas.openxmlformats.org/spreadsheetml/2006/main" count="82" uniqueCount="38">
  <si>
    <t xml:space="preserve">Import </t>
  </si>
  <si>
    <t xml:space="preserve">Eksport </t>
  </si>
  <si>
    <t>Saldo</t>
  </si>
  <si>
    <t>mln. AQSh. Dollor</t>
  </si>
  <si>
    <t>x</t>
  </si>
  <si>
    <t>Qaraqalpaqstan Respublikası makroekonomikalıq kórsetkishleri</t>
  </si>
  <si>
    <t>Ólshem birligi</t>
  </si>
  <si>
    <t>2010 j.</t>
  </si>
  <si>
    <t>2011 j.</t>
  </si>
  <si>
    <t>2012 j.</t>
  </si>
  <si>
    <t>2013 j.</t>
  </si>
  <si>
    <t>2014 j.</t>
  </si>
  <si>
    <t>2015 j.</t>
  </si>
  <si>
    <t>2016 j.</t>
  </si>
  <si>
    <t>2017 j.</t>
  </si>
  <si>
    <t>2018 j.</t>
  </si>
  <si>
    <t>2019 j.</t>
  </si>
  <si>
    <t>Jalpı aymaqlıq ónim</t>
  </si>
  <si>
    <t>mlrd. swm</t>
  </si>
  <si>
    <t>o'siw páti, % da</t>
  </si>
  <si>
    <t>Sanaat ónimi</t>
  </si>
  <si>
    <t xml:space="preserve">Tutınıw tovarları </t>
  </si>
  <si>
    <t xml:space="preserve">Tiykarǵı kapitalǵa investitsiyalar </t>
  </si>
  <si>
    <t xml:space="preserve">Qurılıs jumısları </t>
  </si>
  <si>
    <t xml:space="preserve">Usaqlap satıw sawda tovar aylanbası </t>
  </si>
  <si>
    <t>Xızmetler, jámi</t>
  </si>
  <si>
    <t xml:space="preserve">Sırtqı sawda aylanbası </t>
  </si>
  <si>
    <r>
      <t xml:space="preserve">Awıl, toğay hám balıqshilıq xojalıǵı  </t>
    </r>
    <r>
      <rPr>
        <vertAlign val="superscript"/>
        <sz val="12"/>
        <rFont val="Times New Roman"/>
        <family val="1"/>
        <charset val="204"/>
      </rPr>
      <t>1)</t>
    </r>
  </si>
  <si>
    <t>2020 j.</t>
  </si>
  <si>
    <t>х</t>
  </si>
  <si>
    <t>*) dáslepki maǵliwmatlar</t>
  </si>
  <si>
    <r>
      <rPr>
        <i/>
        <vertAlign val="superscript"/>
        <sz val="12"/>
        <color indexed="8"/>
        <rFont val="Times New Roman"/>
        <family val="1"/>
        <charset val="204"/>
      </rPr>
      <t>1)</t>
    </r>
    <r>
      <rPr>
        <i/>
        <sz val="12"/>
        <color indexed="8"/>
        <rFont val="Times New Roman"/>
        <family val="1"/>
        <charset val="204"/>
      </rPr>
      <t xml:space="preserve"> 2010 -2023 jıllar ushın maǵlıwmatlar anıqlıq kiritilgen (qayta bahalab shıǵılǵan ) maǵlıwmatlardı esapqa alǵan halda keltirilgen.</t>
    </r>
  </si>
  <si>
    <t xml:space="preserve">2021 j. </t>
  </si>
  <si>
    <t xml:space="preserve">2022 j. </t>
  </si>
  <si>
    <t>2023 j.</t>
  </si>
  <si>
    <t>2024 j.</t>
  </si>
  <si>
    <t>2025-j.             yanvar-dekabr *)</t>
  </si>
  <si>
    <t>2026-j.             yanvar-iyun *)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</si>
</sst>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#,##0.0"/>
    <numFmt numFmtId="166" formatCode="#,##0.0\ _₽"/>
  </numFmts>
  <fonts count="12" x14ac:knownFonts="1">
    <font>
      <sz val="10"/>
      <name val="Arial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0"/>
      <name val="Arial Cyr"/>
      <charset val="204"/>
    </font>
    <font>
      <vertAlign val="superscript"/>
      <sz val="12"/>
      <name val="Times New Roman"/>
      <family val="1"/>
      <charset val="204"/>
    </font>
    <font>
      <sz val="10"/>
      <name val="Arial Cyr"/>
    </font>
    <font>
      <b/>
      <sz val="22"/>
      <name val="Times New Roman"/>
      <family val="1"/>
      <charset val="204"/>
    </font>
    <font>
      <b/>
      <sz val="14"/>
      <name val="Times New Roman"/>
      <family val="1"/>
      <charset val="204"/>
    </font>
    <font>
      <i/>
      <sz val="12"/>
      <name val="Times New Roman"/>
      <family val="1"/>
      <charset val="204"/>
    </font>
    <font>
      <i/>
      <sz val="12"/>
      <color indexed="8"/>
      <name val="Times New Roman"/>
      <family val="1"/>
      <charset val="204"/>
    </font>
    <font>
      <i/>
      <vertAlign val="superscript"/>
      <sz val="12"/>
      <color indexed="8"/>
      <name val="Times New Roman"/>
      <family val="1"/>
      <charset val="204"/>
    </font>
    <font>
      <i/>
      <sz val="12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3" fillId="0" borderId="0"/>
    <xf numFmtId="0" fontId="3" fillId="0" borderId="0"/>
    <xf numFmtId="0" fontId="3" fillId="0" borderId="0"/>
    <xf numFmtId="0" fontId="5" fillId="0" borderId="0"/>
  </cellStyleXfs>
  <cellXfs count="26">
    <xf numFmtId="0" fontId="0" fillId="0" borderId="0" xfId="0"/>
    <xf numFmtId="0" fontId="1" fillId="0" borderId="0" xfId="0" applyFont="1" applyFill="1" applyAlignment="1">
      <alignment vertical="center"/>
    </xf>
    <xf numFmtId="0" fontId="1" fillId="0" borderId="0" xfId="0" applyFont="1" applyFill="1"/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left"/>
    </xf>
    <xf numFmtId="0" fontId="2" fillId="0" borderId="0" xfId="0" applyFont="1" applyFill="1"/>
    <xf numFmtId="166" fontId="1" fillId="0" borderId="1" xfId="2" applyNumberFormat="1" applyFont="1" applyFill="1" applyBorder="1" applyAlignment="1">
      <alignment horizontal="center" vertical="center" wrapText="1"/>
    </xf>
    <xf numFmtId="164" fontId="1" fillId="0" borderId="1" xfId="0" applyNumberFormat="1" applyFont="1" applyFill="1" applyBorder="1" applyAlignment="1">
      <alignment horizontal="center" vertical="center"/>
    </xf>
    <xf numFmtId="165" fontId="1" fillId="0" borderId="1" xfId="0" applyNumberFormat="1" applyFont="1" applyFill="1" applyBorder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6" fontId="1" fillId="2" borderId="1" xfId="2" applyNumberFormat="1" applyFont="1" applyFill="1" applyBorder="1" applyAlignment="1">
      <alignment horizontal="center" vertical="center" wrapText="1"/>
    </xf>
    <xf numFmtId="0" fontId="1" fillId="2" borderId="0" xfId="0" applyFont="1" applyFill="1"/>
    <xf numFmtId="0" fontId="1" fillId="2" borderId="1" xfId="0" applyFont="1" applyFill="1" applyBorder="1" applyAlignment="1">
      <alignment horizontal="center" vertical="center"/>
    </xf>
    <xf numFmtId="166" fontId="1" fillId="0" borderId="6" xfId="2" applyNumberFormat="1" applyFont="1" applyFill="1" applyBorder="1" applyAlignment="1">
      <alignment horizontal="center" vertical="center" wrapText="1"/>
    </xf>
    <xf numFmtId="164" fontId="1" fillId="0" borderId="6" xfId="0" applyNumberFormat="1" applyFont="1" applyFill="1" applyBorder="1" applyAlignment="1">
      <alignment horizontal="center" vertical="center"/>
    </xf>
    <xf numFmtId="166" fontId="1" fillId="2" borderId="6" xfId="2" applyNumberFormat="1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left"/>
    </xf>
    <xf numFmtId="0" fontId="7" fillId="0" borderId="2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 wrapText="1"/>
    </xf>
    <xf numFmtId="0" fontId="8" fillId="0" borderId="0" xfId="0" applyFont="1" applyFill="1" applyAlignment="1">
      <alignment horizontal="left" indent="1"/>
    </xf>
    <xf numFmtId="0" fontId="1" fillId="0" borderId="0" xfId="0" applyFont="1" applyFill="1" applyAlignment="1">
      <alignment horizontal="left" indent="1"/>
    </xf>
    <xf numFmtId="0" fontId="6" fillId="0" borderId="0" xfId="0" applyFont="1" applyFill="1" applyAlignment="1">
      <alignment horizontal="center" vertical="center"/>
    </xf>
    <xf numFmtId="0" fontId="1" fillId="0" borderId="5" xfId="0" applyFont="1" applyFill="1" applyBorder="1" applyAlignment="1">
      <alignment horizontal="left" vertical="center" wrapText="1" indent="1"/>
    </xf>
    <xf numFmtId="0" fontId="1" fillId="2" borderId="5" xfId="0" applyFont="1" applyFill="1" applyBorder="1" applyAlignment="1">
      <alignment horizontal="left" vertical="center" wrapText="1" indent="2"/>
    </xf>
    <xf numFmtId="0" fontId="9" fillId="0" borderId="0" xfId="0" applyFont="1" applyFill="1" applyAlignment="1">
      <alignment horizontal="left" vertical="center" wrapText="1" indent="1"/>
    </xf>
    <xf numFmtId="0" fontId="11" fillId="0" borderId="0" xfId="0" applyFont="1" applyFill="1" applyAlignment="1">
      <alignment horizontal="left" vertical="center" wrapText="1" indent="1"/>
    </xf>
  </cellXfs>
  <cellStyles count="5">
    <cellStyle name="Обычный" xfId="0" builtinId="0"/>
    <cellStyle name="Обычный 2" xfId="1"/>
    <cellStyle name="Обычный 4" xfId="2"/>
    <cellStyle name="Обычный 5" xfId="3"/>
    <cellStyle name="Обычный 6" xf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S31"/>
  <sheetViews>
    <sheetView tabSelected="1" view="pageBreakPreview" zoomScale="70" zoomScaleNormal="55" zoomScaleSheetLayoutView="70" workbookViewId="0">
      <selection activeCell="A3" sqref="A3"/>
    </sheetView>
  </sheetViews>
  <sheetFormatPr defaultRowHeight="15.75" x14ac:dyDescent="0.25"/>
  <cols>
    <col min="1" max="1" width="39.140625" style="4" customWidth="1"/>
    <col min="2" max="2" width="22.5703125" style="2" customWidth="1"/>
    <col min="3" max="9" width="12.42578125" style="2" customWidth="1"/>
    <col min="10" max="11" width="11.85546875" style="2" customWidth="1"/>
    <col min="12" max="12" width="11.42578125" style="2" customWidth="1"/>
    <col min="13" max="13" width="11.85546875" style="2" customWidth="1"/>
    <col min="14" max="14" width="11.42578125" style="2" customWidth="1"/>
    <col min="15" max="15" width="11.5703125" style="2" customWidth="1"/>
    <col min="16" max="17" width="11.85546875" style="2" customWidth="1"/>
    <col min="18" max="18" width="14.5703125" style="2" customWidth="1"/>
    <col min="19" max="19" width="12.7109375" style="2" customWidth="1"/>
    <col min="20" max="16384" width="9.140625" style="2"/>
  </cols>
  <sheetData>
    <row r="1" spans="1:19" s="1" customFormat="1" ht="38.25" customHeight="1" x14ac:dyDescent="0.2">
      <c r="A1" s="21" t="s">
        <v>5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</row>
    <row r="3" spans="1:19" s="5" customFormat="1" ht="78.75" customHeight="1" x14ac:dyDescent="0.3">
      <c r="A3" s="16"/>
      <c r="B3" s="17" t="s">
        <v>6</v>
      </c>
      <c r="C3" s="17" t="s">
        <v>7</v>
      </c>
      <c r="D3" s="17" t="s">
        <v>8</v>
      </c>
      <c r="E3" s="17" t="s">
        <v>9</v>
      </c>
      <c r="F3" s="17" t="s">
        <v>10</v>
      </c>
      <c r="G3" s="17" t="s">
        <v>11</v>
      </c>
      <c r="H3" s="17" t="s">
        <v>12</v>
      </c>
      <c r="I3" s="17" t="s">
        <v>13</v>
      </c>
      <c r="J3" s="17" t="s">
        <v>14</v>
      </c>
      <c r="K3" s="17" t="s">
        <v>15</v>
      </c>
      <c r="L3" s="17" t="s">
        <v>16</v>
      </c>
      <c r="M3" s="17" t="s">
        <v>28</v>
      </c>
      <c r="N3" s="18" t="s">
        <v>32</v>
      </c>
      <c r="O3" s="18" t="s">
        <v>33</v>
      </c>
      <c r="P3" s="18" t="s">
        <v>34</v>
      </c>
      <c r="Q3" s="18" t="s">
        <v>35</v>
      </c>
      <c r="R3" s="18" t="s">
        <v>36</v>
      </c>
      <c r="S3" s="18" t="s">
        <v>37</v>
      </c>
    </row>
    <row r="5" spans="1:19" ht="30.75" customHeight="1" x14ac:dyDescent="0.25">
      <c r="A5" s="22" t="s">
        <v>17</v>
      </c>
      <c r="B5" s="3" t="s">
        <v>18</v>
      </c>
      <c r="C5" s="6">
        <v>2181.6999999999998</v>
      </c>
      <c r="D5" s="6">
        <v>2800.3</v>
      </c>
      <c r="E5" s="6">
        <v>3561.6</v>
      </c>
      <c r="F5" s="6">
        <v>4366.7</v>
      </c>
      <c r="G5" s="6">
        <v>5433.8</v>
      </c>
      <c r="H5" s="6">
        <v>6703.8</v>
      </c>
      <c r="I5" s="6">
        <v>8568.2999999999993</v>
      </c>
      <c r="J5" s="6">
        <v>13755.6</v>
      </c>
      <c r="K5" s="6">
        <v>19372.3</v>
      </c>
      <c r="L5" s="6">
        <v>23896.7</v>
      </c>
      <c r="M5" s="6">
        <v>26136.6</v>
      </c>
      <c r="N5" s="13">
        <v>30697.7</v>
      </c>
      <c r="O5" s="13">
        <v>36667.599999999999</v>
      </c>
      <c r="P5" s="13">
        <v>40805.199999999997</v>
      </c>
      <c r="Q5" s="13">
        <v>46299.8</v>
      </c>
      <c r="R5" s="13">
        <v>54076.9</v>
      </c>
      <c r="S5" s="13">
        <v>32383.858800000005</v>
      </c>
    </row>
    <row r="6" spans="1:19" ht="30.75" customHeight="1" x14ac:dyDescent="0.25">
      <c r="A6" s="22"/>
      <c r="B6" s="3" t="s">
        <v>19</v>
      </c>
      <c r="C6" s="6">
        <v>112.53492548533721</v>
      </c>
      <c r="D6" s="6">
        <v>107.28239665284853</v>
      </c>
      <c r="E6" s="6">
        <v>111.8201384958242</v>
      </c>
      <c r="F6" s="6">
        <v>107.97329811847585</v>
      </c>
      <c r="G6" s="6">
        <v>109.21174914163242</v>
      </c>
      <c r="H6" s="6">
        <v>110.49778291877878</v>
      </c>
      <c r="I6" s="6">
        <v>112.47925496354183</v>
      </c>
      <c r="J6" s="6">
        <v>106.06136220083565</v>
      </c>
      <c r="K6" s="6">
        <v>106.25261288922772</v>
      </c>
      <c r="L6" s="6">
        <v>106.44609877967908</v>
      </c>
      <c r="M6" s="6">
        <v>101.0701141665494</v>
      </c>
      <c r="N6" s="13">
        <v>106.38002795310699</v>
      </c>
      <c r="O6" s="13">
        <v>104.21563704265355</v>
      </c>
      <c r="P6" s="13">
        <v>102.09715709644378</v>
      </c>
      <c r="Q6" s="13">
        <v>104.24562250390032</v>
      </c>
      <c r="R6" s="13">
        <v>107.18691212984857</v>
      </c>
      <c r="S6" s="13">
        <v>110.21303725815861</v>
      </c>
    </row>
    <row r="7" spans="1:19" ht="30.75" customHeight="1" x14ac:dyDescent="0.25">
      <c r="A7" s="22" t="s">
        <v>20</v>
      </c>
      <c r="B7" s="3" t="s">
        <v>18</v>
      </c>
      <c r="C7" s="6">
        <v>697.2</v>
      </c>
      <c r="D7" s="6">
        <v>897.8</v>
      </c>
      <c r="E7" s="6">
        <v>1034.2</v>
      </c>
      <c r="F7" s="6">
        <v>1368.8</v>
      </c>
      <c r="G7" s="6">
        <v>1717.2</v>
      </c>
      <c r="H7" s="6">
        <v>2387.6</v>
      </c>
      <c r="I7" s="6">
        <v>4265.7</v>
      </c>
      <c r="J7" s="6">
        <v>6773.3</v>
      </c>
      <c r="K7" s="6">
        <v>10911.9</v>
      </c>
      <c r="L7" s="6">
        <v>12736.1</v>
      </c>
      <c r="M7" s="6">
        <v>13981.3</v>
      </c>
      <c r="N7" s="13">
        <v>16630.400000000001</v>
      </c>
      <c r="O7" s="13">
        <v>17624.7</v>
      </c>
      <c r="P7" s="13">
        <v>17791.0998</v>
      </c>
      <c r="Q7" s="13">
        <v>24323.5</v>
      </c>
      <c r="R7" s="13">
        <v>29094.007775436556</v>
      </c>
      <c r="S7" s="13">
        <v>14950.522589</v>
      </c>
    </row>
    <row r="8" spans="1:19" ht="30.75" customHeight="1" x14ac:dyDescent="0.25">
      <c r="A8" s="22"/>
      <c r="B8" s="3" t="s">
        <v>19</v>
      </c>
      <c r="C8" s="6">
        <v>105.5</v>
      </c>
      <c r="D8" s="6">
        <v>108</v>
      </c>
      <c r="E8" s="6">
        <v>102.3</v>
      </c>
      <c r="F8" s="6">
        <v>106.4</v>
      </c>
      <c r="G8" s="6">
        <v>108.2</v>
      </c>
      <c r="H8" s="6">
        <v>121.5</v>
      </c>
      <c r="I8" s="6">
        <v>164.5</v>
      </c>
      <c r="J8" s="6">
        <v>108.2</v>
      </c>
      <c r="K8" s="6">
        <v>104.2</v>
      </c>
      <c r="L8" s="6">
        <v>105.1</v>
      </c>
      <c r="M8" s="6">
        <v>102.5</v>
      </c>
      <c r="N8" s="13">
        <v>107.4</v>
      </c>
      <c r="O8" s="13">
        <v>100.5</v>
      </c>
      <c r="P8" s="13">
        <v>98.8</v>
      </c>
      <c r="Q8" s="13">
        <v>106.2</v>
      </c>
      <c r="R8" s="13">
        <v>105.28259484097977</v>
      </c>
      <c r="S8" s="13">
        <v>107.5</v>
      </c>
    </row>
    <row r="9" spans="1:19" ht="30.75" customHeight="1" x14ac:dyDescent="0.25">
      <c r="A9" s="22" t="s">
        <v>21</v>
      </c>
      <c r="B9" s="3" t="s">
        <v>18</v>
      </c>
      <c r="C9" s="6">
        <v>250.7</v>
      </c>
      <c r="D9" s="6">
        <v>334.4</v>
      </c>
      <c r="E9" s="6">
        <v>391.4</v>
      </c>
      <c r="F9" s="6">
        <v>579</v>
      </c>
      <c r="G9" s="6">
        <v>699.2</v>
      </c>
      <c r="H9" s="6">
        <v>1051.0999999999999</v>
      </c>
      <c r="I9" s="6">
        <v>1088.8</v>
      </c>
      <c r="J9" s="6">
        <v>1209.2</v>
      </c>
      <c r="K9" s="6">
        <v>1815.022835</v>
      </c>
      <c r="L9" s="6">
        <v>2377.6224645000002</v>
      </c>
      <c r="M9" s="6">
        <v>2804.2</v>
      </c>
      <c r="N9" s="13">
        <v>2945.6</v>
      </c>
      <c r="O9" s="13">
        <v>2393.3000000000002</v>
      </c>
      <c r="P9" s="13" t="s">
        <v>29</v>
      </c>
      <c r="Q9" s="13" t="s">
        <v>29</v>
      </c>
      <c r="R9" s="13" t="s">
        <v>29</v>
      </c>
      <c r="S9" s="13" t="s">
        <v>29</v>
      </c>
    </row>
    <row r="10" spans="1:19" ht="30.75" customHeight="1" x14ac:dyDescent="0.25">
      <c r="A10" s="22"/>
      <c r="B10" s="3" t="s">
        <v>19</v>
      </c>
      <c r="C10" s="6">
        <v>109.4</v>
      </c>
      <c r="D10" s="6">
        <v>106.5</v>
      </c>
      <c r="E10" s="6">
        <v>109.6</v>
      </c>
      <c r="F10" s="6">
        <v>105.5</v>
      </c>
      <c r="G10" s="6">
        <v>112</v>
      </c>
      <c r="H10" s="6">
        <v>118.8</v>
      </c>
      <c r="I10" s="6">
        <v>104.3</v>
      </c>
      <c r="J10" s="6">
        <v>106.4</v>
      </c>
      <c r="K10" s="6">
        <v>122.2</v>
      </c>
      <c r="L10" s="6">
        <v>102.2</v>
      </c>
      <c r="M10" s="6">
        <v>113.6</v>
      </c>
      <c r="N10" s="13">
        <v>105.3</v>
      </c>
      <c r="O10" s="13">
        <v>106.9</v>
      </c>
      <c r="P10" s="13" t="s">
        <v>29</v>
      </c>
      <c r="Q10" s="13" t="s">
        <v>29</v>
      </c>
      <c r="R10" s="13" t="s">
        <v>29</v>
      </c>
      <c r="S10" s="13" t="s">
        <v>29</v>
      </c>
    </row>
    <row r="11" spans="1:19" ht="30.75" customHeight="1" x14ac:dyDescent="0.25">
      <c r="A11" s="22" t="s">
        <v>27</v>
      </c>
      <c r="B11" s="3" t="s">
        <v>18</v>
      </c>
      <c r="C11" s="7">
        <v>1060</v>
      </c>
      <c r="D11" s="7">
        <v>1351.1</v>
      </c>
      <c r="E11" s="7">
        <v>1884.8</v>
      </c>
      <c r="F11" s="7">
        <v>2155.2000000000003</v>
      </c>
      <c r="G11" s="7">
        <v>2659.2999999999997</v>
      </c>
      <c r="H11" s="7">
        <v>3452.1</v>
      </c>
      <c r="I11" s="7">
        <v>4062.8999999999996</v>
      </c>
      <c r="J11" s="7">
        <v>4977.2999999999993</v>
      </c>
      <c r="K11" s="7">
        <v>6995.5000000000009</v>
      </c>
      <c r="L11" s="7">
        <v>8769.2999999999993</v>
      </c>
      <c r="M11" s="7">
        <v>10532.199999999999</v>
      </c>
      <c r="N11" s="14">
        <v>12340.899999999998</v>
      </c>
      <c r="O11" s="13">
        <v>14374</v>
      </c>
      <c r="P11" s="13">
        <v>16390.800000000003</v>
      </c>
      <c r="Q11" s="13">
        <v>18433.2</v>
      </c>
      <c r="R11" s="13">
        <v>21623.8</v>
      </c>
      <c r="S11" s="13">
        <v>15130.9741827</v>
      </c>
    </row>
    <row r="12" spans="1:19" ht="30.75" customHeight="1" x14ac:dyDescent="0.25">
      <c r="A12" s="22"/>
      <c r="B12" s="3" t="s">
        <v>19</v>
      </c>
      <c r="C12" s="7">
        <v>120.09881349078807</v>
      </c>
      <c r="D12" s="7">
        <v>95.498472696261828</v>
      </c>
      <c r="E12" s="7">
        <v>118.85622519350608</v>
      </c>
      <c r="F12" s="7">
        <v>103.62571399086507</v>
      </c>
      <c r="G12" s="7">
        <v>106.36061972309095</v>
      </c>
      <c r="H12" s="7">
        <v>109.75681956634551</v>
      </c>
      <c r="I12" s="7">
        <v>108.40846810122973</v>
      </c>
      <c r="J12" s="7">
        <v>103.49403522145973</v>
      </c>
      <c r="K12" s="7">
        <v>101.353329456634</v>
      </c>
      <c r="L12" s="7">
        <v>107.58866713191506</v>
      </c>
      <c r="M12" s="7">
        <v>102.69233497292474</v>
      </c>
      <c r="N12" s="14">
        <v>103.5</v>
      </c>
      <c r="O12" s="14">
        <v>103.31633377379654</v>
      </c>
      <c r="P12" s="14">
        <v>103.24316288801023</v>
      </c>
      <c r="Q12" s="14">
        <v>102.96404186823096</v>
      </c>
      <c r="R12" s="14">
        <v>104.85254378435494</v>
      </c>
      <c r="S12" s="14">
        <v>106.18805769982821</v>
      </c>
    </row>
    <row r="13" spans="1:19" ht="30.75" customHeight="1" x14ac:dyDescent="0.25">
      <c r="A13" s="22" t="s">
        <v>22</v>
      </c>
      <c r="B13" s="3" t="s">
        <v>18</v>
      </c>
      <c r="C13" s="6">
        <v>496.4</v>
      </c>
      <c r="D13" s="6">
        <v>950.3</v>
      </c>
      <c r="E13" s="6">
        <v>1242.0999999999999</v>
      </c>
      <c r="F13" s="6">
        <v>2415</v>
      </c>
      <c r="G13" s="6">
        <v>3990.6</v>
      </c>
      <c r="H13" s="6">
        <v>6021.2</v>
      </c>
      <c r="I13" s="6">
        <v>3778.3</v>
      </c>
      <c r="J13" s="6">
        <v>2822</v>
      </c>
      <c r="K13" s="6">
        <v>6757.8</v>
      </c>
      <c r="L13" s="6">
        <v>8750.5999999999985</v>
      </c>
      <c r="M13" s="6">
        <v>7089.7999999999984</v>
      </c>
      <c r="N13" s="13">
        <v>8110.7</v>
      </c>
      <c r="O13" s="13">
        <v>10254</v>
      </c>
      <c r="P13" s="13">
        <v>12959.2</v>
      </c>
      <c r="Q13" s="13">
        <v>20567.7</v>
      </c>
      <c r="R13" s="13">
        <v>27010.1</v>
      </c>
      <c r="S13" s="13">
        <v>13346.704600000001</v>
      </c>
    </row>
    <row r="14" spans="1:19" ht="30.75" customHeight="1" x14ac:dyDescent="0.25">
      <c r="A14" s="22"/>
      <c r="B14" s="3" t="s">
        <v>19</v>
      </c>
      <c r="C14" s="6">
        <v>63.9</v>
      </c>
      <c r="D14" s="6">
        <v>163.4</v>
      </c>
      <c r="E14" s="6">
        <v>113.5</v>
      </c>
      <c r="F14" s="6">
        <v>170.7</v>
      </c>
      <c r="G14" s="6">
        <v>145.80000000000001</v>
      </c>
      <c r="H14" s="6">
        <v>131.1</v>
      </c>
      <c r="I14" s="6">
        <v>56.2</v>
      </c>
      <c r="J14" s="6">
        <v>60.4</v>
      </c>
      <c r="K14" s="6">
        <v>169.9</v>
      </c>
      <c r="L14" s="6">
        <v>100.3</v>
      </c>
      <c r="M14" s="6">
        <v>69.900000000000006</v>
      </c>
      <c r="N14" s="13">
        <v>105.1</v>
      </c>
      <c r="O14" s="13">
        <v>114.9</v>
      </c>
      <c r="P14" s="13">
        <v>116.6</v>
      </c>
      <c r="Q14" s="13">
        <v>146.25839351852409</v>
      </c>
      <c r="R14" s="13">
        <v>125</v>
      </c>
      <c r="S14" s="13">
        <v>100.94983350380156</v>
      </c>
    </row>
    <row r="15" spans="1:19" ht="30.75" customHeight="1" x14ac:dyDescent="0.25">
      <c r="A15" s="22" t="s">
        <v>23</v>
      </c>
      <c r="B15" s="3" t="s">
        <v>18</v>
      </c>
      <c r="C15" s="6">
        <v>237.080468</v>
      </c>
      <c r="D15" s="6">
        <v>398.64865500000002</v>
      </c>
      <c r="E15" s="6">
        <v>537.19283299999995</v>
      </c>
      <c r="F15" s="6">
        <v>720.750542</v>
      </c>
      <c r="G15" s="6">
        <v>1053.5</v>
      </c>
      <c r="H15" s="6">
        <v>1219.3</v>
      </c>
      <c r="I15" s="6">
        <v>1171.8</v>
      </c>
      <c r="J15" s="6">
        <v>1398.8</v>
      </c>
      <c r="K15" s="6">
        <v>2182.6999999999998</v>
      </c>
      <c r="L15" s="6">
        <v>3315.4</v>
      </c>
      <c r="M15" s="6">
        <v>3992.5</v>
      </c>
      <c r="N15" s="13">
        <v>4480.6000000000004</v>
      </c>
      <c r="O15" s="13">
        <v>5272.4</v>
      </c>
      <c r="P15" s="13">
        <v>7995.6</v>
      </c>
      <c r="Q15" s="13">
        <v>8505.9</v>
      </c>
      <c r="R15" s="13">
        <v>9915.9</v>
      </c>
      <c r="S15" s="13">
        <v>6628.0638000000008</v>
      </c>
    </row>
    <row r="16" spans="1:19" ht="30.75" customHeight="1" x14ac:dyDescent="0.25">
      <c r="A16" s="22"/>
      <c r="B16" s="3" t="s">
        <v>19</v>
      </c>
      <c r="C16" s="6">
        <v>121.83667074986286</v>
      </c>
      <c r="D16" s="6">
        <v>150.77963233985182</v>
      </c>
      <c r="E16" s="6">
        <v>121.78040384960033</v>
      </c>
      <c r="F16" s="6">
        <v>119.920743991013</v>
      </c>
      <c r="G16" s="6">
        <v>119.30285248464838</v>
      </c>
      <c r="H16" s="6">
        <v>105.3</v>
      </c>
      <c r="I16" s="6">
        <v>89.4</v>
      </c>
      <c r="J16" s="6">
        <v>112.3</v>
      </c>
      <c r="K16" s="6">
        <v>125.8</v>
      </c>
      <c r="L16" s="6">
        <v>128.03046099535663</v>
      </c>
      <c r="M16" s="6">
        <v>107.04077610724418</v>
      </c>
      <c r="N16" s="13">
        <v>103.8</v>
      </c>
      <c r="O16" s="13">
        <v>107.30771075964117</v>
      </c>
      <c r="P16" s="13">
        <v>100.4</v>
      </c>
      <c r="Q16" s="13">
        <v>99.6</v>
      </c>
      <c r="R16" s="13">
        <v>111</v>
      </c>
      <c r="S16" s="13">
        <v>142.86797920793779</v>
      </c>
    </row>
    <row r="17" spans="1:19" ht="30.75" customHeight="1" x14ac:dyDescent="0.25">
      <c r="A17" s="22" t="s">
        <v>24</v>
      </c>
      <c r="B17" s="3" t="s">
        <v>18</v>
      </c>
      <c r="C17" s="6">
        <v>711.3</v>
      </c>
      <c r="D17" s="6">
        <v>897.3</v>
      </c>
      <c r="E17" s="6">
        <v>1155.2</v>
      </c>
      <c r="F17" s="6">
        <v>1568.3</v>
      </c>
      <c r="G17" s="6">
        <v>1977.8</v>
      </c>
      <c r="H17" s="6">
        <v>2397.6999999999998</v>
      </c>
      <c r="I17" s="6">
        <v>2950.4</v>
      </c>
      <c r="J17" s="6">
        <v>3527.8</v>
      </c>
      <c r="K17" s="6">
        <v>4496.8</v>
      </c>
      <c r="L17" s="6">
        <v>5705.8</v>
      </c>
      <c r="M17" s="6">
        <v>6861.7557633612696</v>
      </c>
      <c r="N17" s="13">
        <v>8498.5664564570779</v>
      </c>
      <c r="O17" s="13">
        <v>9557.8691254794394</v>
      </c>
      <c r="P17" s="13">
        <v>11392.562952811237</v>
      </c>
      <c r="Q17" s="13">
        <v>14263.8</v>
      </c>
      <c r="R17" s="13">
        <v>16560.599999999999</v>
      </c>
      <c r="S17" s="13">
        <v>9964.2095917868774</v>
      </c>
    </row>
    <row r="18" spans="1:19" ht="30.75" customHeight="1" x14ac:dyDescent="0.25">
      <c r="A18" s="22"/>
      <c r="B18" s="3" t="s">
        <v>19</v>
      </c>
      <c r="C18" s="6">
        <v>122.7</v>
      </c>
      <c r="D18" s="6">
        <v>115.2</v>
      </c>
      <c r="E18" s="6">
        <v>112.8</v>
      </c>
      <c r="F18" s="6">
        <v>117.9</v>
      </c>
      <c r="G18" s="6">
        <v>118</v>
      </c>
      <c r="H18" s="6">
        <v>114.1</v>
      </c>
      <c r="I18" s="6">
        <v>114.1</v>
      </c>
      <c r="J18" s="6">
        <v>101.8</v>
      </c>
      <c r="K18" s="6">
        <v>107.2</v>
      </c>
      <c r="L18" s="6">
        <v>112.207389046323</v>
      </c>
      <c r="M18" s="6">
        <v>102.37268211273791</v>
      </c>
      <c r="N18" s="13">
        <v>111.86245385875232</v>
      </c>
      <c r="O18" s="13">
        <v>111.36324253010969</v>
      </c>
      <c r="P18" s="13">
        <v>108.1531953856626</v>
      </c>
      <c r="Q18" s="13">
        <v>112.9</v>
      </c>
      <c r="R18" s="13">
        <v>110.3</v>
      </c>
      <c r="S18" s="13">
        <v>128.8450506728523</v>
      </c>
    </row>
    <row r="19" spans="1:19" ht="30.75" customHeight="1" x14ac:dyDescent="0.25">
      <c r="A19" s="22" t="s">
        <v>25</v>
      </c>
      <c r="B19" s="3" t="s">
        <v>18</v>
      </c>
      <c r="C19" s="6">
        <v>671.10219640000014</v>
      </c>
      <c r="D19" s="6">
        <v>1062.0358099</v>
      </c>
      <c r="E19" s="6">
        <v>1350.1071819999997</v>
      </c>
      <c r="F19" s="6">
        <v>1710.3681764700002</v>
      </c>
      <c r="G19" s="6">
        <v>2148.0709578796423</v>
      </c>
      <c r="H19" s="6">
        <v>2550.3255805224489</v>
      </c>
      <c r="I19" s="6">
        <v>3100.5486449870186</v>
      </c>
      <c r="J19" s="6">
        <v>7374.2</v>
      </c>
      <c r="K19" s="6">
        <v>9174.5</v>
      </c>
      <c r="L19" s="6">
        <v>10949</v>
      </c>
      <c r="M19" s="6">
        <v>12132.5</v>
      </c>
      <c r="N19" s="13">
        <v>14525.3</v>
      </c>
      <c r="O19" s="13">
        <v>19054.900000000001</v>
      </c>
      <c r="P19" s="13">
        <v>23217.9</v>
      </c>
      <c r="Q19" s="13">
        <v>28758.799999999999</v>
      </c>
      <c r="R19" s="13">
        <v>35196.199999999997</v>
      </c>
      <c r="S19" s="13">
        <v>19731.329171599999</v>
      </c>
    </row>
    <row r="20" spans="1:19" ht="30.75" customHeight="1" x14ac:dyDescent="0.25">
      <c r="A20" s="22"/>
      <c r="B20" s="3" t="s">
        <v>19</v>
      </c>
      <c r="C20" s="6">
        <v>116.2</v>
      </c>
      <c r="D20" s="6">
        <v>119.8</v>
      </c>
      <c r="E20" s="6">
        <v>109.5</v>
      </c>
      <c r="F20" s="6">
        <v>114.8</v>
      </c>
      <c r="G20" s="6">
        <v>119.6</v>
      </c>
      <c r="H20" s="6">
        <v>118.5</v>
      </c>
      <c r="I20" s="6">
        <v>113.2</v>
      </c>
      <c r="J20" s="6">
        <v>108.3</v>
      </c>
      <c r="K20" s="6">
        <v>109.9</v>
      </c>
      <c r="L20" s="6">
        <v>107.1</v>
      </c>
      <c r="M20" s="6">
        <v>102.2</v>
      </c>
      <c r="N20" s="13">
        <v>109.8</v>
      </c>
      <c r="O20" s="13">
        <v>110.3</v>
      </c>
      <c r="P20" s="13">
        <v>106.8</v>
      </c>
      <c r="Q20" s="13">
        <v>109.6</v>
      </c>
      <c r="R20" s="13">
        <v>113.7</v>
      </c>
      <c r="S20" s="13">
        <v>116.42723275088593</v>
      </c>
    </row>
    <row r="21" spans="1:19" ht="30.75" customHeight="1" x14ac:dyDescent="0.25">
      <c r="A21" s="22" t="s">
        <v>26</v>
      </c>
      <c r="B21" s="8" t="s">
        <v>3</v>
      </c>
      <c r="C21" s="6">
        <v>126.27147799999997</v>
      </c>
      <c r="D21" s="6">
        <v>158.3225688</v>
      </c>
      <c r="E21" s="6">
        <v>240.27736434000002</v>
      </c>
      <c r="F21" s="6">
        <v>233.75274396</v>
      </c>
      <c r="G21" s="6">
        <v>316.94807573000003</v>
      </c>
      <c r="H21" s="6">
        <v>286.08892977000005</v>
      </c>
      <c r="I21" s="6">
        <v>628.47417109999708</v>
      </c>
      <c r="J21" s="6">
        <v>641.08731329999841</v>
      </c>
      <c r="K21" s="6">
        <v>742.00128569999947</v>
      </c>
      <c r="L21" s="6">
        <v>699.95709529909959</v>
      </c>
      <c r="M21" s="6">
        <v>538.99104071344436</v>
      </c>
      <c r="N21" s="13">
        <v>649.20000000000005</v>
      </c>
      <c r="O21" s="15">
        <v>599.34929999999997</v>
      </c>
      <c r="P21" s="15">
        <v>535.20000000000005</v>
      </c>
      <c r="Q21" s="15">
        <v>652.99994819369954</v>
      </c>
      <c r="R21" s="15">
        <v>810.80719999999997</v>
      </c>
      <c r="S21" s="15">
        <v>440.31545082682823</v>
      </c>
    </row>
    <row r="22" spans="1:19" ht="30.75" customHeight="1" x14ac:dyDescent="0.25">
      <c r="A22" s="22"/>
      <c r="B22" s="3" t="s">
        <v>19</v>
      </c>
      <c r="C22" s="6">
        <v>95.609386828160495</v>
      </c>
      <c r="D22" s="6">
        <v>125.33650039588282</v>
      </c>
      <c r="E22" s="6">
        <v>151.80037902716361</v>
      </c>
      <c r="F22" s="6">
        <v>97.253433208489383</v>
      </c>
      <c r="G22" s="6">
        <v>135.62176967479681</v>
      </c>
      <c r="H22" s="6">
        <v>90.265324725844508</v>
      </c>
      <c r="I22" s="6">
        <v>219.67385205217775</v>
      </c>
      <c r="J22" s="6">
        <v>102.00694678954345</v>
      </c>
      <c r="K22" s="6">
        <v>115.74106526621868</v>
      </c>
      <c r="L22" s="6">
        <v>94.333676880191106</v>
      </c>
      <c r="M22" s="6">
        <v>77.00343982985504</v>
      </c>
      <c r="N22" s="13">
        <v>120.4</v>
      </c>
      <c r="O22" s="15">
        <v>92.321210720887237</v>
      </c>
      <c r="P22" s="15">
        <v>89.290452162036402</v>
      </c>
      <c r="Q22" s="15">
        <v>122.01918318107555</v>
      </c>
      <c r="R22" s="15">
        <v>124.2</v>
      </c>
      <c r="S22" s="15">
        <v>122.85162095972375</v>
      </c>
    </row>
    <row r="23" spans="1:19" s="11" customFormat="1" ht="30.75" customHeight="1" x14ac:dyDescent="0.25">
      <c r="A23" s="23" t="s">
        <v>1</v>
      </c>
      <c r="B23" s="9" t="s">
        <v>3</v>
      </c>
      <c r="C23" s="10">
        <v>98.286637999999968</v>
      </c>
      <c r="D23" s="10">
        <v>106.09893980000001</v>
      </c>
      <c r="E23" s="10">
        <v>113.99632334</v>
      </c>
      <c r="F23" s="10">
        <v>114.51051896</v>
      </c>
      <c r="G23" s="10">
        <v>105.55295773000002</v>
      </c>
      <c r="H23" s="10">
        <v>95.378075570000021</v>
      </c>
      <c r="I23" s="10">
        <v>428.34510649999737</v>
      </c>
      <c r="J23" s="10">
        <v>462.42538809999826</v>
      </c>
      <c r="K23" s="10">
        <v>457.80561419999913</v>
      </c>
      <c r="L23" s="10">
        <v>431.0798720990997</v>
      </c>
      <c r="M23" s="6">
        <v>362.68846358344433</v>
      </c>
      <c r="N23" s="15">
        <v>416.2</v>
      </c>
      <c r="O23" s="15">
        <v>352.80720000000002</v>
      </c>
      <c r="P23" s="15">
        <v>326.5</v>
      </c>
      <c r="Q23" s="15">
        <v>387.39205313369945</v>
      </c>
      <c r="R23" s="15">
        <v>435.16759999999999</v>
      </c>
      <c r="S23" s="15">
        <v>213.16918763762823</v>
      </c>
    </row>
    <row r="24" spans="1:19" s="11" customFormat="1" ht="30.75" customHeight="1" x14ac:dyDescent="0.25">
      <c r="A24" s="23"/>
      <c r="B24" s="12" t="s">
        <v>19</v>
      </c>
      <c r="C24" s="10">
        <v>104.79744136460553</v>
      </c>
      <c r="D24" s="10">
        <v>107.9348931841302</v>
      </c>
      <c r="E24" s="10">
        <v>107.44580584354384</v>
      </c>
      <c r="F24" s="10">
        <v>100.43859649122805</v>
      </c>
      <c r="G24" s="10">
        <v>92.185989283842815</v>
      </c>
      <c r="H24" s="10">
        <v>90.360400713708984</v>
      </c>
      <c r="I24" s="10">
        <v>449.10227422823868</v>
      </c>
      <c r="J24" s="10">
        <v>107.95626729075309</v>
      </c>
      <c r="K24" s="10">
        <v>99.000968800830563</v>
      </c>
      <c r="L24" s="10">
        <v>94.162207436533521</v>
      </c>
      <c r="M24" s="6">
        <v>84.134863875079532</v>
      </c>
      <c r="N24" s="15">
        <v>114.8</v>
      </c>
      <c r="O24" s="15">
        <v>84.768668909178288</v>
      </c>
      <c r="P24" s="15">
        <v>92.533202270248466</v>
      </c>
      <c r="Q24" s="15">
        <v>118.66311917594628</v>
      </c>
      <c r="R24" s="15">
        <v>112.3</v>
      </c>
      <c r="S24" s="15">
        <v>105.48444162876972</v>
      </c>
    </row>
    <row r="25" spans="1:19" s="11" customFormat="1" ht="30.75" customHeight="1" x14ac:dyDescent="0.25">
      <c r="A25" s="23" t="s">
        <v>0</v>
      </c>
      <c r="B25" s="9" t="s">
        <v>3</v>
      </c>
      <c r="C25" s="10">
        <v>27.984840000000005</v>
      </c>
      <c r="D25" s="10">
        <v>52.223628999999988</v>
      </c>
      <c r="E25" s="10">
        <v>126.281041</v>
      </c>
      <c r="F25" s="10">
        <v>119.242225</v>
      </c>
      <c r="G25" s="10">
        <v>211.39511800000002</v>
      </c>
      <c r="H25" s="10">
        <v>190.7108542</v>
      </c>
      <c r="I25" s="10">
        <v>200.12906459999974</v>
      </c>
      <c r="J25" s="10">
        <v>178.6619252000001</v>
      </c>
      <c r="K25" s="10">
        <v>284.1956715000004</v>
      </c>
      <c r="L25" s="10">
        <v>268.87722319999995</v>
      </c>
      <c r="M25" s="6">
        <v>176.30257712999997</v>
      </c>
      <c r="N25" s="15">
        <v>233</v>
      </c>
      <c r="O25" s="15">
        <v>246.54209999999998</v>
      </c>
      <c r="P25" s="15">
        <v>208.7</v>
      </c>
      <c r="Q25" s="15">
        <v>265.60789506000003</v>
      </c>
      <c r="R25" s="15">
        <v>375.63959999999997</v>
      </c>
      <c r="S25" s="15">
        <v>227.14626318920003</v>
      </c>
    </row>
    <row r="26" spans="1:19" s="11" customFormat="1" ht="30.75" customHeight="1" x14ac:dyDescent="0.25">
      <c r="A26" s="23"/>
      <c r="B26" s="12" t="s">
        <v>19</v>
      </c>
      <c r="C26" s="10">
        <v>73.107049608355098</v>
      </c>
      <c r="D26" s="10">
        <v>186.42857142857144</v>
      </c>
      <c r="E26" s="10">
        <v>241.95402298850573</v>
      </c>
      <c r="F26" s="10">
        <v>94.378463974663504</v>
      </c>
      <c r="G26" s="10">
        <v>177.34489765100676</v>
      </c>
      <c r="H26" s="10">
        <v>90.217851767040429</v>
      </c>
      <c r="I26" s="10">
        <v>104.93557109862988</v>
      </c>
      <c r="J26" s="10">
        <v>89.273352452375548</v>
      </c>
      <c r="K26" s="10">
        <v>159.06896289282787</v>
      </c>
      <c r="L26" s="10">
        <v>94.609893873771156</v>
      </c>
      <c r="M26" s="6">
        <v>65.569918876638781</v>
      </c>
      <c r="N26" s="15">
        <v>132.1</v>
      </c>
      <c r="O26" s="15">
        <v>105.8120600858369</v>
      </c>
      <c r="P26" s="15">
        <v>84.65000500928646</v>
      </c>
      <c r="Q26" s="15">
        <v>127.26903384156689</v>
      </c>
      <c r="R26" s="15">
        <v>141.4</v>
      </c>
      <c r="S26" s="15">
        <v>145.30246640996788</v>
      </c>
    </row>
    <row r="27" spans="1:19" s="11" customFormat="1" ht="30.75" customHeight="1" x14ac:dyDescent="0.25">
      <c r="A27" s="23" t="s">
        <v>2</v>
      </c>
      <c r="B27" s="9" t="s">
        <v>3</v>
      </c>
      <c r="C27" s="10">
        <f t="shared" ref="C27:J27" si="0">+C23-C25</f>
        <v>70.301797999999962</v>
      </c>
      <c r="D27" s="10">
        <f t="shared" si="0"/>
        <v>53.875310800000022</v>
      </c>
      <c r="E27" s="10">
        <f t="shared" si="0"/>
        <v>-12.284717659999998</v>
      </c>
      <c r="F27" s="10">
        <f t="shared" si="0"/>
        <v>-4.7317060400000059</v>
      </c>
      <c r="G27" s="10">
        <f t="shared" si="0"/>
        <v>-105.84216027000001</v>
      </c>
      <c r="H27" s="10">
        <f t="shared" si="0"/>
        <v>-95.332778629999979</v>
      </c>
      <c r="I27" s="10">
        <f t="shared" si="0"/>
        <v>228.21604189999763</v>
      </c>
      <c r="J27" s="10">
        <f t="shared" si="0"/>
        <v>283.76346289999816</v>
      </c>
      <c r="K27" s="10">
        <f t="shared" ref="K27:S27" si="1">+K23-K25</f>
        <v>173.60994269999873</v>
      </c>
      <c r="L27" s="10">
        <f t="shared" si="1"/>
        <v>162.20264889909976</v>
      </c>
      <c r="M27" s="10">
        <f t="shared" si="1"/>
        <v>186.38588645344436</v>
      </c>
      <c r="N27" s="10">
        <f t="shared" si="1"/>
        <v>183.2</v>
      </c>
      <c r="O27" s="10">
        <f t="shared" si="1"/>
        <v>106.26510000000005</v>
      </c>
      <c r="P27" s="10">
        <f t="shared" si="1"/>
        <v>117.80000000000001</v>
      </c>
      <c r="Q27" s="10">
        <f t="shared" si="1"/>
        <v>121.78415807369942</v>
      </c>
      <c r="R27" s="10">
        <f t="shared" si="1"/>
        <v>59.52800000000002</v>
      </c>
      <c r="S27" s="10">
        <f t="shared" si="1"/>
        <v>-13.977075551571801</v>
      </c>
    </row>
    <row r="28" spans="1:19" s="11" customFormat="1" ht="30.75" customHeight="1" x14ac:dyDescent="0.25">
      <c r="A28" s="23"/>
      <c r="B28" s="12" t="s">
        <v>19</v>
      </c>
      <c r="C28" s="10" t="s">
        <v>4</v>
      </c>
      <c r="D28" s="10" t="s">
        <v>4</v>
      </c>
      <c r="E28" s="10" t="s">
        <v>4</v>
      </c>
      <c r="F28" s="10" t="s">
        <v>4</v>
      </c>
      <c r="G28" s="10" t="s">
        <v>4</v>
      </c>
      <c r="H28" s="10" t="s">
        <v>4</v>
      </c>
      <c r="I28" s="10" t="s">
        <v>4</v>
      </c>
      <c r="J28" s="10" t="s">
        <v>4</v>
      </c>
      <c r="K28" s="10" t="s">
        <v>4</v>
      </c>
      <c r="L28" s="10" t="s">
        <v>4</v>
      </c>
      <c r="M28" s="6" t="s">
        <v>4</v>
      </c>
      <c r="N28" s="15" t="s">
        <v>4</v>
      </c>
      <c r="O28" s="13" t="s">
        <v>4</v>
      </c>
      <c r="P28" s="13" t="s">
        <v>4</v>
      </c>
      <c r="Q28" s="13" t="s">
        <v>4</v>
      </c>
      <c r="R28" s="13" t="s">
        <v>4</v>
      </c>
      <c r="S28" s="13" t="s">
        <v>4</v>
      </c>
    </row>
    <row r="30" spans="1:19" x14ac:dyDescent="0.25">
      <c r="A30" s="19" t="s">
        <v>30</v>
      </c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</row>
    <row r="31" spans="1:19" x14ac:dyDescent="0.25">
      <c r="A31" s="24" t="s">
        <v>31</v>
      </c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</row>
  </sheetData>
  <mergeCells count="14">
    <mergeCell ref="A1:S1"/>
    <mergeCell ref="A21:A22"/>
    <mergeCell ref="A23:A24"/>
    <mergeCell ref="A5:A6"/>
    <mergeCell ref="A31:M31"/>
    <mergeCell ref="A25:A26"/>
    <mergeCell ref="A27:A28"/>
    <mergeCell ref="A17:A18"/>
    <mergeCell ref="A19:A20"/>
    <mergeCell ref="A15:A16"/>
    <mergeCell ref="A7:A8"/>
    <mergeCell ref="A9:A10"/>
    <mergeCell ref="A11:A12"/>
    <mergeCell ref="A13:A14"/>
  </mergeCells>
  <printOptions horizontalCentered="1"/>
  <pageMargins left="0.19685039370078741" right="0.19685039370078741" top="0.62992125984251968" bottom="0.59055118110236227" header="0.51181102362204722" footer="0.51181102362204722"/>
  <pageSetup paperSize="9" scale="54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QQ</vt:lpstr>
      <vt:lpstr>QQ!Область_печати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Talgat E. Nurmaxanov</cp:lastModifiedBy>
  <cp:lastPrinted>2026-07-22T15:21:49Z</cp:lastPrinted>
  <dcterms:created xsi:type="dcterms:W3CDTF">1996-10-08T23:32:33Z</dcterms:created>
  <dcterms:modified xsi:type="dcterms:W3CDTF">2026-07-22T15:21:53Z</dcterms:modified>
</cp:coreProperties>
</file>