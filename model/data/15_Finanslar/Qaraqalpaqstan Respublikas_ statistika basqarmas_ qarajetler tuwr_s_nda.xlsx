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3420" yWindow="2655" windowWidth="16890" windowHeight="6855" tabRatio="764"/>
  </bookViews>
  <sheets>
    <sheet name="2а-илова" sheetId="59" r:id="rId1"/>
  </sheets>
  <definedNames>
    <definedName name="_xlnm.Print_Area" localSheetId="0">'2а-илова'!$A$1:$E$77</definedName>
  </definedNames>
  <calcPr calcId="144525"/>
</workbook>
</file>

<file path=xl/calcChain.xml><?xml version="1.0" encoding="utf-8"?>
<calcChain xmlns="http://schemas.openxmlformats.org/spreadsheetml/2006/main">
  <c r="E77" i="59" l="1"/>
  <c r="D37" i="59"/>
  <c r="E37" i="59"/>
  <c r="C32" i="59"/>
  <c r="D7" i="59"/>
  <c r="D18" i="59"/>
  <c r="C18" i="59" s="1"/>
  <c r="E18" i="59"/>
  <c r="D33" i="59"/>
  <c r="C37" i="59"/>
  <c r="C17" i="59"/>
  <c r="C16" i="59"/>
  <c r="C11" i="59"/>
  <c r="C10" i="59"/>
  <c r="C7" i="59"/>
  <c r="C9" i="59"/>
  <c r="C12" i="59"/>
  <c r="C13" i="59"/>
  <c r="C14" i="59"/>
  <c r="C15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5" i="59"/>
  <c r="C36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72" i="59"/>
  <c r="C73" i="59"/>
  <c r="C74" i="59"/>
  <c r="C75" i="59"/>
  <c r="C76" i="59"/>
  <c r="C33" i="59" l="1"/>
  <c r="D77" i="59"/>
  <c r="C77" i="59" s="1"/>
</calcChain>
</file>

<file path=xl/sharedStrings.xml><?xml version="1.0" encoding="utf-8"?>
<sst xmlns="http://schemas.openxmlformats.org/spreadsheetml/2006/main" count="141" uniqueCount="138">
  <si>
    <t>1.1.</t>
  </si>
  <si>
    <t>1.2.</t>
  </si>
  <si>
    <t>1.3.</t>
  </si>
  <si>
    <t>1.4.</t>
  </si>
  <si>
    <t>1.5.</t>
  </si>
  <si>
    <t>1.6.</t>
  </si>
  <si>
    <t>1.7.</t>
  </si>
  <si>
    <t>1.8.</t>
  </si>
  <si>
    <t>1.9.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</si>
  <si>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</si>
  <si>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</si>
  <si>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</si>
  <si>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</si>
  <si>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</si>
  <si>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</si>
  <si>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</si>
  <si>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</si>
  <si>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</si>
  <si>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</si>
  <si>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5.1.</t>
  </si>
  <si>
    <t>5.2.</t>
  </si>
  <si>
    <t>6.1.</t>
  </si>
  <si>
    <t>6.2.</t>
  </si>
  <si>
    <t>6.3.</t>
  </si>
  <si>
    <t>6.4.</t>
  </si>
  <si>
    <t>6.5.</t>
  </si>
  <si>
    <t>6.6.</t>
  </si>
  <si>
    <t>6.7.</t>
  </si>
  <si>
    <t>6.8.</t>
  </si>
  <si>
    <t>6.9.</t>
  </si>
  <si>
    <t>6.10.</t>
  </si>
  <si>
    <t>6.11.</t>
  </si>
  <si>
    <t>6.12.</t>
  </si>
  <si>
    <t>6.13.</t>
  </si>
  <si>
    <t>6.14.</t>
  </si>
  <si>
    <t>6.15.</t>
  </si>
  <si>
    <t>6.16.</t>
  </si>
  <si>
    <t>6.17.</t>
  </si>
  <si>
    <t>6.18.</t>
  </si>
  <si>
    <t>6.19.</t>
  </si>
  <si>
    <t>6.20.</t>
  </si>
  <si>
    <t>6.21.</t>
  </si>
  <si>
    <t>6.22.</t>
  </si>
  <si>
    <t>6.23.</t>
  </si>
  <si>
    <t>6.24.</t>
  </si>
  <si>
    <t>6.25.</t>
  </si>
  <si>
    <t>6.26.</t>
  </si>
  <si>
    <t>6.27.</t>
  </si>
  <si>
    <t>6.28.</t>
  </si>
  <si>
    <t>6.29.</t>
  </si>
  <si>
    <t>6.30.</t>
  </si>
  <si>
    <t>6.31.</t>
  </si>
  <si>
    <t>6.32.</t>
  </si>
  <si>
    <t>6.33.</t>
  </si>
  <si>
    <t>6.34.</t>
  </si>
  <si>
    <t>6.35.</t>
  </si>
  <si>
    <t>6.36.</t>
  </si>
  <si>
    <t>6.37.</t>
  </si>
  <si>
    <t>6.38.</t>
  </si>
  <si>
    <t>№</t>
  </si>
  <si>
    <t>Kommerciyalıq iskerliginen</t>
  </si>
  <si>
    <t>Inventar xojalıq buyımlarına qárajetler</t>
  </si>
  <si>
    <t>Kanselyariya buyımları qárejetleri</t>
  </si>
  <si>
    <t>Janar may (benzin, gaz) qárejetleri</t>
  </si>
  <si>
    <t>Elektr energiya qárejetleri</t>
  </si>
  <si>
    <t>Ísıtıw sisteması hám ıssı suw qárejetleri</t>
  </si>
  <si>
    <t>Tutınıw etiletuǵın suw ushın qárejetler</t>
  </si>
  <si>
    <t>Basqada materiallıq qárejetler</t>
  </si>
  <si>
    <t xml:space="preserve">Sonday-aq </t>
  </si>
  <si>
    <t xml:space="preserve">Lawazım aylıq is haqısı </t>
  </si>
  <si>
    <t>Ústemeler</t>
  </si>
  <si>
    <t>Rayon koefficiyenti</t>
  </si>
  <si>
    <t>Awqatlanıw hám jol haqı qárejetleri</t>
  </si>
  <si>
    <t>Xızmetkerlerge bir mártelik materiallıq qoshametlew (sıylıqlar)</t>
  </si>
  <si>
    <t>Hár aylıq qoshametlew</t>
  </si>
  <si>
    <t>Sherek (jıl) juwmaqları qoshametlew</t>
  </si>
  <si>
    <t>Kóp jıllıq staj boyınsha ústemeler</t>
  </si>
  <si>
    <t>Kelesi dáwir qárejetleri (8900)</t>
  </si>
  <si>
    <t xml:space="preserve">Tiykarǵı qurallar tozıwı </t>
  </si>
  <si>
    <t xml:space="preserve">Tiykarǵı qural tozıwı PQ-999 </t>
  </si>
  <si>
    <t xml:space="preserve">Tiykarǵı qural tozıwı </t>
  </si>
  <si>
    <t>Basqa qárejetler</t>
  </si>
  <si>
    <t>Sırtqı yuridikalıq hám fizikalıq shaxslar tárepinen atqarılatuǵın jumıslar hám xızmetler</t>
  </si>
  <si>
    <t xml:space="preserve">Avtomobillerge texnikalıq xızmet kórsetiw hám remont </t>
  </si>
  <si>
    <t>Basqa tiykarǵı qurallardı remontlaw qárejetleri</t>
  </si>
  <si>
    <t>Reklama qárejeti</t>
  </si>
  <si>
    <t>Wákillik qárejeti</t>
  </si>
  <si>
    <t>Pochta qárejeti</t>
  </si>
  <si>
    <t>Abonent nomerleri ushın tólemler</t>
  </si>
  <si>
    <t>Mobil baylanıs xızmeti</t>
  </si>
  <si>
    <t>Internet qárejeti</t>
  </si>
  <si>
    <t>Basqa baylanıs xızmeti (arnawlı baylanıs)</t>
  </si>
  <si>
    <t>Xızmet saparı qárejeti</t>
  </si>
  <si>
    <t>Auditorlıq tekseriw qárejeti</t>
  </si>
  <si>
    <t>Másláhát hám informaciya xızmetlerine haq tólew</t>
  </si>
  <si>
    <t>Bank xızmeti</t>
  </si>
  <si>
    <t xml:space="preserve">Múlk salıǵı </t>
  </si>
  <si>
    <t xml:space="preserve">Jer salıǵı </t>
  </si>
  <si>
    <t>Pensiya fondına májbúriy ajıratılǵan qarjılar</t>
  </si>
  <si>
    <t xml:space="preserve">Respublika jol fondına májburiy ajıratılǵan qarjılar </t>
  </si>
  <si>
    <t xml:space="preserve">Ulıwma orta tálim mektepleri fondına májbúriy ajıratılǵan qarjılar </t>
  </si>
  <si>
    <t>Sırtqı qorıqlaw xızmeti qárejeti</t>
  </si>
  <si>
    <t>Shıǵındı tasıp beriw qárejeti</t>
  </si>
  <si>
    <t>Dezinseksiya qárejeti</t>
  </si>
  <si>
    <t>Medicina punktlerin saqlaw qárejeti</t>
  </si>
  <si>
    <t>Xızmetkerlerge berilgen sıylıqlar baxası</t>
  </si>
  <si>
    <t>Dáwirli baspalarǵa jazılıw qárejetleri</t>
  </si>
  <si>
    <t>Materiallıq járdem qárejeti</t>
  </si>
  <si>
    <t>Biletler (aviya bilet)</t>
  </si>
  <si>
    <t>Hújjetlerdi perepilyot qılıw hám saqlaw qárejetleri</t>
  </si>
  <si>
    <t xml:space="preserve">Xızmetkerler mamanlıǵın asırıw </t>
  </si>
  <si>
    <t>Ijara tólewi qárejeti</t>
  </si>
  <si>
    <t>Májburiy qamsızlandırıw</t>
  </si>
  <si>
    <t>Úy xojalıǵı tańlama gúzetiwi qárejetleri</t>
  </si>
  <si>
    <t>Jámi qárejetler</t>
  </si>
  <si>
    <t>Materiallıq qárajetler</t>
  </si>
  <si>
    <t>Kárxananıń qárajet túrleri</t>
  </si>
  <si>
    <t>Jámi
qárajet</t>
  </si>
  <si>
    <t>Qaraqalpaqstan Respublikası statistika basqarması hámde rayon (qala) statistika bólimleriniń haqiyqatta ámelge asırılǵan qárajetleri tuwrısında 
 M A Ǵ L Í W M A T</t>
  </si>
  <si>
    <t>Sonnan:</t>
  </si>
  <si>
    <t>Awısıq bóleklerge qárajetler</t>
  </si>
  <si>
    <t>Miynetke haq tólew qárejetleri</t>
  </si>
  <si>
    <t xml:space="preserve">Jıllıq miynet demalısları hám kompensaciya </t>
  </si>
  <si>
    <t>Shtattan tısqarı jumısshılar miynet haqı qárejetleri</t>
  </si>
  <si>
    <t>Birden-bir sociallıq tólem</t>
  </si>
  <si>
    <t>Jay hám imáratlardı remontlaw qárejetleri</t>
  </si>
  <si>
    <t>Xalıqaralıq telefon baylanıs xızmeti qárejetleri</t>
  </si>
  <si>
    <t xml:space="preserve">Suw resurslarınan paydalanǵanlıq ushın salıq </t>
  </si>
  <si>
    <t>Átirap ortalıqtı patas. kompensaciya tólewleri</t>
  </si>
  <si>
    <t xml:space="preserve">Waqtınsha miynetke jaramsızlıq pensiyası </t>
  </si>
  <si>
    <t>Qárajetler</t>
  </si>
  <si>
    <t>(mıń somda)</t>
  </si>
  <si>
    <t>Kommerciyalıq emes iskerliginen</t>
  </si>
  <si>
    <t>Awısıq bóleklerge qárajetleri (orgtexnika)</t>
  </si>
  <si>
    <t>Kepillikli tólemler (armiyadaǵılarǵa)</t>
  </si>
  <si>
    <t>2.11.</t>
  </si>
  <si>
    <t>-</t>
  </si>
  <si>
    <t>2026-jıl  I sherek ushın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</si>
</sst>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_(* #,##0.00_);_(* \(#,##0.00\);_(* &quot;-&quot;??_);_(@_)"/>
    <numFmt numFmtId="166" formatCode="_(* #,##0.0_);_(* \(#,##0.0\);_(* &quot;-&quot;??_);_(@_)"/>
  </numFmts>
  <fonts count="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6"/>
      <name val="Arial Cyr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2">
    <xf numFmtId="0" fontId="0" fillId="0" borderId="0"/>
    <xf numFmtId="0" fontId="18" fillId="0" borderId="0"/>
    <xf numFmtId="0" fontId="13" fillId="0" borderId="0"/>
    <xf numFmtId="0" fontId="17" fillId="0" borderId="0"/>
    <xf numFmtId="0" fontId="20" fillId="0" borderId="0"/>
    <xf numFmtId="0" fontId="13" fillId="0" borderId="0"/>
    <xf numFmtId="0" fontId="17" fillId="0" borderId="0"/>
    <xf numFmtId="0" fontId="17" fillId="0" borderId="0"/>
    <xf numFmtId="9" fontId="16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9" fillId="0" borderId="0"/>
    <xf numFmtId="0" fontId="21" fillId="0" borderId="0"/>
    <xf numFmtId="0" fontId="10" fillId="0" borderId="0"/>
    <xf numFmtId="0" fontId="22" fillId="0" borderId="0"/>
    <xf numFmtId="0" fontId="17" fillId="0" borderId="0"/>
    <xf numFmtId="0" fontId="9" fillId="0" borderId="0"/>
    <xf numFmtId="0" fontId="10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8" fillId="0" borderId="0"/>
    <xf numFmtId="0" fontId="10" fillId="0" borderId="0"/>
    <xf numFmtId="0" fontId="22" fillId="0" borderId="0"/>
    <xf numFmtId="0" fontId="23" fillId="0" borderId="0"/>
    <xf numFmtId="0" fontId="17" fillId="0" borderId="0"/>
    <xf numFmtId="0" fontId="8" fillId="0" borderId="0"/>
    <xf numFmtId="0" fontId="22" fillId="0" borderId="0"/>
    <xf numFmtId="0" fontId="7" fillId="0" borderId="0"/>
    <xf numFmtId="0" fontId="10" fillId="0" borderId="0"/>
    <xf numFmtId="0" fontId="17" fillId="0" borderId="0"/>
    <xf numFmtId="0" fontId="7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25" fillId="0" borderId="0"/>
    <xf numFmtId="164" fontId="26" fillId="0" borderId="0" applyFill="0" applyBorder="0" applyAlignment="0" applyProtection="0"/>
    <xf numFmtId="0" fontId="5" fillId="0" borderId="0"/>
    <xf numFmtId="0" fontId="10" fillId="0" borderId="0"/>
    <xf numFmtId="0" fontId="5" fillId="0" borderId="0"/>
    <xf numFmtId="165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17" fillId="0" borderId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7" fillId="0" borderId="0"/>
    <xf numFmtId="0" fontId="17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164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2" fillId="0" borderId="0"/>
    <xf numFmtId="0" fontId="17" fillId="0" borderId="0"/>
    <xf numFmtId="0" fontId="2" fillId="0" borderId="0"/>
    <xf numFmtId="0" fontId="10" fillId="0" borderId="0"/>
    <xf numFmtId="0" fontId="1" fillId="0" borderId="0"/>
    <xf numFmtId="164" fontId="27" fillId="0" borderId="0" applyFill="0" applyBorder="0" applyAlignment="0" applyProtection="0"/>
    <xf numFmtId="0" fontId="10" fillId="0" borderId="0"/>
  </cellStyleXfs>
  <cellXfs count="37">
    <xf numFmtId="0" fontId="0" fillId="0" borderId="0" xfId="0"/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11" fillId="0" borderId="0" xfId="0" applyFont="1" applyFill="1" applyAlignment="1">
      <alignment horizontal="right"/>
    </xf>
    <xf numFmtId="0" fontId="28" fillId="0" borderId="0" xfId="0" applyFont="1" applyFill="1" applyAlignment="1">
      <alignment horizontal="right"/>
    </xf>
    <xf numFmtId="0" fontId="12" fillId="0" borderId="1" xfId="0" applyFont="1" applyFill="1" applyBorder="1" applyAlignment="1">
      <alignment horizontal="left" vertical="center" wrapText="1"/>
    </xf>
    <xf numFmtId="0" fontId="12" fillId="0" borderId="0" xfId="0" applyFont="1" applyFill="1"/>
    <xf numFmtId="0" fontId="11" fillId="0" borderId="0" xfId="0" applyFont="1" applyFill="1"/>
    <xf numFmtId="0" fontId="29" fillId="0" borderId="0" xfId="0" applyFont="1" applyFill="1" applyAlignment="1">
      <alignment horizontal="left"/>
    </xf>
    <xf numFmtId="4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/>
    </xf>
    <xf numFmtId="0" fontId="11" fillId="0" borderId="1" xfId="98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/>
    </xf>
    <xf numFmtId="0" fontId="19" fillId="0" borderId="1" xfId="98" applyFont="1" applyFill="1" applyBorder="1" applyAlignment="1">
      <alignment horizontal="center" vertical="center" wrapText="1"/>
    </xf>
    <xf numFmtId="166" fontId="12" fillId="0" borderId="1" xfId="9" applyNumberFormat="1" applyFont="1" applyFill="1" applyBorder="1" applyAlignment="1">
      <alignment horizontal="right" vertical="center"/>
    </xf>
    <xf numFmtId="0" fontId="12" fillId="0" borderId="1" xfId="98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1" fillId="0" borderId="1" xfId="101" applyFont="1" applyFill="1" applyBorder="1" applyAlignment="1">
      <alignment wrapText="1"/>
    </xf>
    <xf numFmtId="0" fontId="15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16" fontId="12" fillId="0" borderId="1" xfId="0" applyNumberFormat="1" applyFont="1" applyFill="1" applyBorder="1" applyAlignment="1">
      <alignment horizontal="center"/>
    </xf>
    <xf numFmtId="0" fontId="11" fillId="0" borderId="1" xfId="98" applyFont="1" applyFill="1" applyBorder="1" applyAlignment="1">
      <alignment horizontal="center" vertical="center" wrapText="1"/>
    </xf>
    <xf numFmtId="165" fontId="11" fillId="0" borderId="1" xfId="9" applyNumberFormat="1" applyFont="1" applyFill="1" applyBorder="1" applyAlignment="1">
      <alignment horizontal="right" vertical="center"/>
    </xf>
    <xf numFmtId="165" fontId="12" fillId="0" borderId="1" xfId="9" applyNumberFormat="1" applyFont="1" applyFill="1" applyBorder="1" applyAlignment="1">
      <alignment horizontal="right" vertical="center"/>
    </xf>
    <xf numFmtId="165" fontId="11" fillId="0" borderId="6" xfId="9" applyNumberFormat="1" applyFont="1" applyFill="1" applyBorder="1" applyAlignment="1">
      <alignment horizontal="right" vertical="center"/>
    </xf>
    <xf numFmtId="166" fontId="12" fillId="0" borderId="6" xfId="9" applyNumberFormat="1" applyFont="1" applyFill="1" applyBorder="1" applyAlignment="1">
      <alignment horizontal="right" vertical="center"/>
    </xf>
    <xf numFmtId="166" fontId="11" fillId="0" borderId="1" xfId="9" applyNumberFormat="1" applyFont="1" applyFill="1" applyBorder="1" applyAlignment="1">
      <alignment horizontal="right" vertical="center"/>
    </xf>
    <xf numFmtId="165" fontId="30" fillId="0" borderId="1" xfId="9" applyNumberFormat="1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3" fontId="11" fillId="0" borderId="3" xfId="0" applyNumberFormat="1" applyFont="1" applyFill="1" applyBorder="1" applyAlignment="1">
      <alignment horizontal="center" vertical="center" wrapText="1"/>
    </xf>
    <xf numFmtId="3" fontId="11" fillId="0" borderId="4" xfId="0" applyNumberFormat="1" applyFont="1" applyFill="1" applyBorder="1" applyAlignment="1">
      <alignment horizontal="center" vertical="center" wrapText="1"/>
    </xf>
    <xf numFmtId="3" fontId="11" fillId="0" borderId="5" xfId="0" applyNumberFormat="1" applyFont="1" applyFill="1" applyBorder="1" applyAlignment="1">
      <alignment horizontal="center" vertical="center" wrapText="1"/>
    </xf>
    <xf numFmtId="0" fontId="14" fillId="0" borderId="0" xfId="98" applyFont="1" applyFill="1" applyAlignment="1">
      <alignment horizontal="center" wrapText="1"/>
    </xf>
    <xf numFmtId="0" fontId="14" fillId="0" borderId="0" xfId="0" applyFont="1" applyFill="1" applyAlignment="1">
      <alignment horizontal="center"/>
    </xf>
  </cellXfs>
  <cellStyles count="102">
    <cellStyle name="Обычный" xfId="0" builtinId="0"/>
    <cellStyle name="Обычный 10" xfId="38"/>
    <cellStyle name="Обычный 10 2" xfId="55"/>
    <cellStyle name="Обычный 10 2 2" xfId="91"/>
    <cellStyle name="Обычный 10 3" xfId="78"/>
    <cellStyle name="Обычный 11" xfId="42"/>
    <cellStyle name="Обычный 12" xfId="41"/>
    <cellStyle name="Обычный 12 2" xfId="79"/>
    <cellStyle name="Обычный 13" xfId="57"/>
    <cellStyle name="Обычный 13 2" xfId="92"/>
    <cellStyle name="Обычный 14" xfId="59"/>
    <cellStyle name="Обычный 15" xfId="94"/>
    <cellStyle name="Обычный 16" xfId="99"/>
    <cellStyle name="Обычный 2" xfId="1"/>
    <cellStyle name="Обычный 2 2" xfId="2"/>
    <cellStyle name="Обычный 2 2 2" xfId="13"/>
    <cellStyle name="Обычный 2 3" xfId="3"/>
    <cellStyle name="Обычный 2 3 2" xfId="96"/>
    <cellStyle name="Обычный 2 3 3" xfId="95"/>
    <cellStyle name="Обычный 2 4" xfId="4"/>
    <cellStyle name="Обычный 2 4 2" xfId="16"/>
    <cellStyle name="Обычный 2 4 2 2" xfId="35"/>
    <cellStyle name="Обычный 2 4 2 2 2" xfId="52"/>
    <cellStyle name="Обычный 2 4 2 2 2 2" xfId="88"/>
    <cellStyle name="Обычный 2 4 2 2 3" xfId="75"/>
    <cellStyle name="Обычный 2 4 2 3" xfId="46"/>
    <cellStyle name="Обычный 2 4 2 3 2" xfId="82"/>
    <cellStyle name="Обычный 2 4 2 4" xfId="67"/>
    <cellStyle name="Обычный 2 4 3" xfId="22"/>
    <cellStyle name="Обычный 2 4 4" xfId="30"/>
    <cellStyle name="Обычный 2 4 4 2" xfId="50"/>
    <cellStyle name="Обычный 2 4 4 2 2" xfId="86"/>
    <cellStyle name="Обычный 2 4 4 3" xfId="72"/>
    <cellStyle name="Обычный 2 4 5" xfId="43"/>
    <cellStyle name="Обычный 2 4 5 2" xfId="80"/>
    <cellStyle name="Обычный 2 4 6" xfId="61"/>
    <cellStyle name="Обычный 2 5" xfId="15"/>
    <cellStyle name="Обычный 2 6" xfId="12"/>
    <cellStyle name="Обычный 2 6 2" xfId="34"/>
    <cellStyle name="Обычный 2 6 2 2" xfId="74"/>
    <cellStyle name="Обычный 2 7" xfId="29"/>
    <cellStyle name="Обычный 2 8" xfId="39"/>
    <cellStyle name="Обычный 3" xfId="5"/>
    <cellStyle name="Обычный 3 2" xfId="17"/>
    <cellStyle name="Обычный 3 3" xfId="14"/>
    <cellStyle name="Обычный 3 4" xfId="23"/>
    <cellStyle name="Обычный 3 5" xfId="62"/>
    <cellStyle name="Обычный 4" xfId="11"/>
    <cellStyle name="Обычный 4 2" xfId="24"/>
    <cellStyle name="Обычный 4 3" xfId="33"/>
    <cellStyle name="Обычный 4 3 2" xfId="51"/>
    <cellStyle name="Обычный 4 3 2 2" xfId="87"/>
    <cellStyle name="Обычный 4 3 3" xfId="73"/>
    <cellStyle name="Обычный 4 4" xfId="45"/>
    <cellStyle name="Обычный 4 4 2" xfId="81"/>
    <cellStyle name="Обычный 4 5" xfId="66"/>
    <cellStyle name="Обычный 5" xfId="6"/>
    <cellStyle name="Обычный 5 2" xfId="25"/>
    <cellStyle name="Обычный 5 2 2" xfId="37"/>
    <cellStyle name="Обычный 5 2 2 2" xfId="54"/>
    <cellStyle name="Обычный 5 2 2 2 2" xfId="90"/>
    <cellStyle name="Обычный 5 2 2 3" xfId="77"/>
    <cellStyle name="Обычный 5 2 3" xfId="48"/>
    <cellStyle name="Обычный 5 2 3 2" xfId="84"/>
    <cellStyle name="Обычный 5 2 4" xfId="70"/>
    <cellStyle name="Обычный 5 3" xfId="58"/>
    <cellStyle name="Обычный 5 3 2" xfId="93"/>
    <cellStyle name="Обычный 5 4" xfId="60"/>
    <cellStyle name="Обычный 5 5" xfId="63"/>
    <cellStyle name="Обычный 5 6" xfId="97"/>
    <cellStyle name="Обычный 6" xfId="7"/>
    <cellStyle name="Обычный 6 2" xfId="21"/>
    <cellStyle name="Обычный 6 3" xfId="64"/>
    <cellStyle name="Обычный 7" xfId="20"/>
    <cellStyle name="Обычный 7 2" xfId="36"/>
    <cellStyle name="Обычный 7 2 2" xfId="53"/>
    <cellStyle name="Обычный 7 2 2 2" xfId="89"/>
    <cellStyle name="Обычный 7 2 3" xfId="76"/>
    <cellStyle name="Обычный 7 3" xfId="47"/>
    <cellStyle name="Обычный 7 3 2" xfId="83"/>
    <cellStyle name="Обычный 7 4" xfId="69"/>
    <cellStyle name="Обычный 8" xfId="28"/>
    <cellStyle name="Обычный 9" xfId="27"/>
    <cellStyle name="Обычный 9 2" xfId="49"/>
    <cellStyle name="Обычный 9 2 2" xfId="85"/>
    <cellStyle name="Обычный 9 3" xfId="71"/>
    <cellStyle name="Обычный_ II кв 08 (4)" xfId="101"/>
    <cellStyle name="Обычный_Затраты январь-август 2015_Рес 2" xfId="98"/>
    <cellStyle name="Процентный 2" xfId="8"/>
    <cellStyle name="Финансовый" xfId="9" builtinId="3"/>
    <cellStyle name="Финансовый 2" xfId="10"/>
    <cellStyle name="Финансовый 2 2" xfId="19"/>
    <cellStyle name="Финансовый 2 2 2" xfId="26"/>
    <cellStyle name="Финансовый 2 2 3" xfId="68"/>
    <cellStyle name="Финансовый 2 3" xfId="32"/>
    <cellStyle name="Финансовый 2 4" xfId="40"/>
    <cellStyle name="Финансовый 2 4 2" xfId="56"/>
    <cellStyle name="Финансовый 3" xfId="18"/>
    <cellStyle name="Финансовый 4" xfId="31"/>
    <cellStyle name="Финансовый 5" xfId="44"/>
    <cellStyle name="Финансовый 6" xfId="65"/>
    <cellStyle name="Финансовый 7" xfId="1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view="pageBreakPreview" zoomScale="130" zoomScaleNormal="100" zoomScaleSheetLayoutView="130" workbookViewId="0">
      <selection activeCell="A5" sqref="A5:A6"/>
    </sheetView>
  </sheetViews>
  <sheetFormatPr defaultRowHeight="12.75" x14ac:dyDescent="0.2"/>
  <cols>
    <col min="1" max="1" width="5.42578125" style="1" customWidth="1"/>
    <col min="2" max="2" width="62.140625" style="6" customWidth="1"/>
    <col min="3" max="5" width="15" style="6" customWidth="1"/>
    <col min="6" max="16384" width="9.140625" style="6"/>
  </cols>
  <sheetData>
    <row r="1" spans="1:5" s="2" customFormat="1" ht="40.5" customHeight="1" x14ac:dyDescent="0.2">
      <c r="A1" s="35" t="s">
        <v>118</v>
      </c>
      <c r="B1" s="35"/>
      <c r="C1" s="35"/>
      <c r="D1" s="35"/>
      <c r="E1" s="35"/>
    </row>
    <row r="2" spans="1:5" s="8" customFormat="1" ht="12" customHeight="1" x14ac:dyDescent="0.2">
      <c r="A2" s="35"/>
      <c r="B2" s="35"/>
      <c r="C2" s="35"/>
      <c r="D2" s="35"/>
      <c r="E2" s="35"/>
    </row>
    <row r="3" spans="1:5" s="2" customFormat="1" ht="14.25" customHeight="1" x14ac:dyDescent="0.25">
      <c r="A3" s="36" t="s">
        <v>137</v>
      </c>
      <c r="B3" s="36"/>
      <c r="C3" s="36"/>
      <c r="D3" s="36"/>
      <c r="E3" s="36"/>
    </row>
    <row r="4" spans="1:5" s="2" customFormat="1" ht="12.75" customHeight="1" x14ac:dyDescent="0.25">
      <c r="A4" s="1"/>
      <c r="B4" s="1"/>
      <c r="C4" s="3"/>
      <c r="D4" s="3"/>
      <c r="E4" s="4" t="s">
        <v>131</v>
      </c>
    </row>
    <row r="5" spans="1:5" ht="25.5" customHeight="1" x14ac:dyDescent="0.2">
      <c r="A5" s="30" t="s">
        <v>59</v>
      </c>
      <c r="B5" s="30" t="s">
        <v>116</v>
      </c>
      <c r="C5" s="32" t="s">
        <v>130</v>
      </c>
      <c r="D5" s="33"/>
      <c r="E5" s="34"/>
    </row>
    <row r="6" spans="1:5" ht="39.75" customHeight="1" x14ac:dyDescent="0.2">
      <c r="A6" s="31"/>
      <c r="B6" s="31"/>
      <c r="C6" s="9" t="s">
        <v>117</v>
      </c>
      <c r="D6" s="10" t="s">
        <v>132</v>
      </c>
      <c r="E6" s="10" t="s">
        <v>60</v>
      </c>
    </row>
    <row r="7" spans="1:5" ht="13.5" customHeight="1" x14ac:dyDescent="0.2">
      <c r="A7" s="11">
        <v>1</v>
      </c>
      <c r="B7" s="12" t="s">
        <v>115</v>
      </c>
      <c r="C7" s="26">
        <f>D7+E7</f>
        <v>55636.909999999996</v>
      </c>
      <c r="D7" s="26">
        <f>SUM(D9:D17)</f>
        <v>55636.909999999996</v>
      </c>
      <c r="E7" s="27"/>
    </row>
    <row r="8" spans="1:5" x14ac:dyDescent="0.2">
      <c r="A8" s="13"/>
      <c r="B8" s="14" t="s">
        <v>119</v>
      </c>
      <c r="C8" s="25"/>
      <c r="D8" s="25"/>
      <c r="E8" s="15"/>
    </row>
    <row r="9" spans="1:5" x14ac:dyDescent="0.2">
      <c r="A9" s="13" t="s">
        <v>0</v>
      </c>
      <c r="B9" s="16" t="s">
        <v>133</v>
      </c>
      <c r="C9" s="25">
        <f t="shared" ref="C9:C72" si="0">D9+E9</f>
        <v>0</v>
      </c>
      <c r="D9" s="25">
        <v>0</v>
      </c>
      <c r="E9" s="15">
        <v>0</v>
      </c>
    </row>
    <row r="10" spans="1:5" x14ac:dyDescent="0.2">
      <c r="A10" s="13" t="s">
        <v>1</v>
      </c>
      <c r="B10" s="16" t="s">
        <v>120</v>
      </c>
      <c r="C10" s="25">
        <f t="shared" si="0"/>
        <v>0</v>
      </c>
      <c r="D10" s="25">
        <v>0</v>
      </c>
      <c r="E10" s="15">
        <v>0</v>
      </c>
    </row>
    <row r="11" spans="1:5" x14ac:dyDescent="0.2">
      <c r="A11" s="13" t="s">
        <v>2</v>
      </c>
      <c r="B11" s="16" t="s">
        <v>61</v>
      </c>
      <c r="C11" s="25">
        <f t="shared" si="0"/>
        <v>546</v>
      </c>
      <c r="D11" s="25">
        <v>546</v>
      </c>
      <c r="E11" s="15">
        <v>0</v>
      </c>
    </row>
    <row r="12" spans="1:5" x14ac:dyDescent="0.2">
      <c r="A12" s="13" t="s">
        <v>3</v>
      </c>
      <c r="B12" s="16" t="s">
        <v>62</v>
      </c>
      <c r="C12" s="25">
        <f t="shared" si="0"/>
        <v>0</v>
      </c>
      <c r="D12" s="25"/>
      <c r="E12" s="15">
        <v>0</v>
      </c>
    </row>
    <row r="13" spans="1:5" x14ac:dyDescent="0.2">
      <c r="A13" s="13" t="s">
        <v>4</v>
      </c>
      <c r="B13" s="16" t="s">
        <v>63</v>
      </c>
      <c r="C13" s="25">
        <f t="shared" si="0"/>
        <v>20344.935000000001</v>
      </c>
      <c r="D13" s="25">
        <v>20344.935000000001</v>
      </c>
      <c r="E13" s="15">
        <v>0</v>
      </c>
    </row>
    <row r="14" spans="1:5" x14ac:dyDescent="0.2">
      <c r="A14" s="13" t="s">
        <v>5</v>
      </c>
      <c r="B14" s="16" t="s">
        <v>64</v>
      </c>
      <c r="C14" s="25">
        <f t="shared" si="0"/>
        <v>13596.950999999999</v>
      </c>
      <c r="D14" s="25">
        <v>13596.950999999999</v>
      </c>
      <c r="E14" s="15">
        <v>0</v>
      </c>
    </row>
    <row r="15" spans="1:5" x14ac:dyDescent="0.2">
      <c r="A15" s="13" t="s">
        <v>6</v>
      </c>
      <c r="B15" s="16" t="s">
        <v>65</v>
      </c>
      <c r="C15" s="25">
        <f t="shared" si="0"/>
        <v>16148</v>
      </c>
      <c r="D15" s="25">
        <v>16148</v>
      </c>
      <c r="E15" s="25">
        <v>0</v>
      </c>
    </row>
    <row r="16" spans="1:5" x14ac:dyDescent="0.2">
      <c r="A16" s="13" t="s">
        <v>7</v>
      </c>
      <c r="B16" s="16" t="s">
        <v>66</v>
      </c>
      <c r="C16" s="25">
        <f t="shared" si="0"/>
        <v>5001.0240000000003</v>
      </c>
      <c r="D16" s="25">
        <v>5001.0240000000003</v>
      </c>
      <c r="E16" s="25">
        <v>0</v>
      </c>
    </row>
    <row r="17" spans="1:5" x14ac:dyDescent="0.2">
      <c r="A17" s="13" t="s">
        <v>8</v>
      </c>
      <c r="B17" s="16" t="s">
        <v>67</v>
      </c>
      <c r="C17" s="25">
        <f t="shared" si="0"/>
        <v>0</v>
      </c>
      <c r="D17" s="15"/>
      <c r="E17" s="25">
        <v>0</v>
      </c>
    </row>
    <row r="18" spans="1:5" s="7" customFormat="1" ht="13.5" customHeight="1" x14ac:dyDescent="0.2">
      <c r="A18" s="11">
        <v>2</v>
      </c>
      <c r="B18" s="12" t="s">
        <v>121</v>
      </c>
      <c r="C18" s="24">
        <f t="shared" si="0"/>
        <v>3018588.21637</v>
      </c>
      <c r="D18" s="24">
        <f>SUM(D20:D30)</f>
        <v>2901662.94937</v>
      </c>
      <c r="E18" s="24">
        <f>SUM(E20:E30)</f>
        <v>116925.26700000001</v>
      </c>
    </row>
    <row r="19" spans="1:5" x14ac:dyDescent="0.2">
      <c r="A19" s="13"/>
      <c r="B19" s="17" t="s">
        <v>68</v>
      </c>
      <c r="C19" s="25"/>
      <c r="D19" s="25"/>
      <c r="E19" s="25"/>
    </row>
    <row r="20" spans="1:5" x14ac:dyDescent="0.2">
      <c r="A20" s="13" t="s">
        <v>9</v>
      </c>
      <c r="B20" s="5" t="s">
        <v>69</v>
      </c>
      <c r="C20" s="25">
        <f t="shared" si="0"/>
        <v>736819.17729999998</v>
      </c>
      <c r="D20" s="25">
        <v>736819.17729999998</v>
      </c>
      <c r="E20" s="25">
        <v>0</v>
      </c>
    </row>
    <row r="21" spans="1:5" x14ac:dyDescent="0.2">
      <c r="A21" s="13" t="s">
        <v>10</v>
      </c>
      <c r="B21" s="5" t="s">
        <v>70</v>
      </c>
      <c r="C21" s="25">
        <f t="shared" si="0"/>
        <v>265915.51</v>
      </c>
      <c r="D21" s="25">
        <v>265915.51</v>
      </c>
      <c r="E21" s="25">
        <v>0</v>
      </c>
    </row>
    <row r="22" spans="1:5" x14ac:dyDescent="0.2">
      <c r="A22" s="13" t="s">
        <v>11</v>
      </c>
      <c r="B22" s="5" t="s">
        <v>71</v>
      </c>
      <c r="C22" s="25">
        <f t="shared" si="0"/>
        <v>62473.085000000006</v>
      </c>
      <c r="D22" s="25">
        <v>62473.085000000006</v>
      </c>
      <c r="E22" s="25">
        <v>0</v>
      </c>
    </row>
    <row r="23" spans="1:5" x14ac:dyDescent="0.2">
      <c r="A23" s="13" t="s">
        <v>12</v>
      </c>
      <c r="B23" s="5" t="s">
        <v>122</v>
      </c>
      <c r="C23" s="25">
        <f t="shared" si="0"/>
        <v>160523.76680000001</v>
      </c>
      <c r="D23" s="25">
        <v>160523.76680000001</v>
      </c>
      <c r="E23" s="25">
        <v>0</v>
      </c>
    </row>
    <row r="24" spans="1:5" x14ac:dyDescent="0.2">
      <c r="A24" s="13" t="s">
        <v>13</v>
      </c>
      <c r="B24" s="5" t="s">
        <v>74</v>
      </c>
      <c r="C24" s="25">
        <f t="shared" si="0"/>
        <v>288228.14165000001</v>
      </c>
      <c r="D24" s="25">
        <v>184932.29465000003</v>
      </c>
      <c r="E24" s="25">
        <v>103295.84700000001</v>
      </c>
    </row>
    <row r="25" spans="1:5" x14ac:dyDescent="0.2">
      <c r="A25" s="13" t="s">
        <v>14</v>
      </c>
      <c r="B25" s="5" t="s">
        <v>72</v>
      </c>
      <c r="C25" s="25">
        <f t="shared" si="0"/>
        <v>19948.618419999999</v>
      </c>
      <c r="D25" s="25">
        <v>19948.618419999999</v>
      </c>
      <c r="E25" s="25">
        <v>0</v>
      </c>
    </row>
    <row r="26" spans="1:5" x14ac:dyDescent="0.2">
      <c r="A26" s="13" t="s">
        <v>15</v>
      </c>
      <c r="B26" s="5" t="s">
        <v>73</v>
      </c>
      <c r="C26" s="25">
        <f t="shared" si="0"/>
        <v>337972.15600000002</v>
      </c>
      <c r="D26" s="25">
        <v>324342.73600000003</v>
      </c>
      <c r="E26" s="25">
        <v>13629.42</v>
      </c>
    </row>
    <row r="27" spans="1:5" x14ac:dyDescent="0.2">
      <c r="A27" s="13" t="s">
        <v>16</v>
      </c>
      <c r="B27" s="5" t="s">
        <v>76</v>
      </c>
      <c r="C27" s="25">
        <f t="shared" si="0"/>
        <v>1145442.3661999998</v>
      </c>
      <c r="D27" s="25">
        <v>1145442.3661999998</v>
      </c>
      <c r="E27" s="25">
        <v>0</v>
      </c>
    </row>
    <row r="28" spans="1:5" x14ac:dyDescent="0.2">
      <c r="A28" s="13" t="s">
        <v>17</v>
      </c>
      <c r="B28" s="5" t="s">
        <v>123</v>
      </c>
      <c r="C28" s="25">
        <f t="shared" si="0"/>
        <v>0</v>
      </c>
      <c r="D28" s="15">
        <v>0</v>
      </c>
      <c r="E28" s="25">
        <v>0</v>
      </c>
    </row>
    <row r="29" spans="1:5" x14ac:dyDescent="0.2">
      <c r="A29" s="13" t="s">
        <v>18</v>
      </c>
      <c r="B29" s="5" t="s">
        <v>75</v>
      </c>
      <c r="C29" s="25">
        <f t="shared" si="0"/>
        <v>1265.395</v>
      </c>
      <c r="D29" s="15">
        <v>1265.395</v>
      </c>
      <c r="E29" s="25">
        <v>0</v>
      </c>
    </row>
    <row r="30" spans="1:5" x14ac:dyDescent="0.2">
      <c r="A30" s="13" t="s">
        <v>135</v>
      </c>
      <c r="B30" s="5" t="s">
        <v>134</v>
      </c>
      <c r="C30" s="25">
        <f t="shared" si="0"/>
        <v>0</v>
      </c>
      <c r="D30" s="15">
        <v>0</v>
      </c>
      <c r="E30" s="25">
        <v>0</v>
      </c>
    </row>
    <row r="31" spans="1:5" s="7" customFormat="1" ht="13.5" customHeight="1" x14ac:dyDescent="0.2">
      <c r="A31" s="11">
        <v>3</v>
      </c>
      <c r="B31" s="18" t="s">
        <v>124</v>
      </c>
      <c r="C31" s="24">
        <f t="shared" si="0"/>
        <v>749605.62359249988</v>
      </c>
      <c r="D31" s="24">
        <v>720374.30359249993</v>
      </c>
      <c r="E31" s="24">
        <v>29231.32</v>
      </c>
    </row>
    <row r="32" spans="1:5" s="7" customFormat="1" x14ac:dyDescent="0.2">
      <c r="A32" s="11">
        <v>4</v>
      </c>
      <c r="B32" s="19" t="s">
        <v>77</v>
      </c>
      <c r="C32" s="25">
        <f>IFERROR(D32+E32,0)</f>
        <v>0</v>
      </c>
      <c r="D32" s="24"/>
      <c r="E32" s="24" t="s">
        <v>136</v>
      </c>
    </row>
    <row r="33" spans="1:5" s="7" customFormat="1" ht="13.5" customHeight="1" x14ac:dyDescent="0.2">
      <c r="A33" s="11">
        <v>5</v>
      </c>
      <c r="B33" s="20" t="s">
        <v>78</v>
      </c>
      <c r="C33" s="24">
        <f t="shared" si="0"/>
        <v>14766.191000000001</v>
      </c>
      <c r="D33" s="24">
        <f>D35+D36</f>
        <v>14766.191000000001</v>
      </c>
      <c r="E33" s="28"/>
    </row>
    <row r="34" spans="1:5" x14ac:dyDescent="0.2">
      <c r="A34" s="13"/>
      <c r="B34" s="17" t="s">
        <v>68</v>
      </c>
      <c r="C34" s="25"/>
      <c r="D34" s="25"/>
      <c r="E34" s="15"/>
    </row>
    <row r="35" spans="1:5" x14ac:dyDescent="0.2">
      <c r="A35" s="13" t="s">
        <v>19</v>
      </c>
      <c r="B35" s="5" t="s">
        <v>79</v>
      </c>
      <c r="C35" s="25">
        <f t="shared" si="0"/>
        <v>0</v>
      </c>
      <c r="D35" s="25">
        <v>0</v>
      </c>
      <c r="E35" s="15">
        <v>0</v>
      </c>
    </row>
    <row r="36" spans="1:5" x14ac:dyDescent="0.2">
      <c r="A36" s="13" t="s">
        <v>20</v>
      </c>
      <c r="B36" s="21" t="s">
        <v>80</v>
      </c>
      <c r="C36" s="25">
        <f t="shared" si="0"/>
        <v>14766.191000000001</v>
      </c>
      <c r="D36" s="25">
        <v>14766.191000000001</v>
      </c>
      <c r="E36" s="15">
        <v>0</v>
      </c>
    </row>
    <row r="37" spans="1:5" s="7" customFormat="1" ht="13.5" customHeight="1" x14ac:dyDescent="0.2">
      <c r="A37" s="11">
        <v>6</v>
      </c>
      <c r="B37" s="12" t="s">
        <v>81</v>
      </c>
      <c r="C37" s="24">
        <f t="shared" si="0"/>
        <v>150351.14799999999</v>
      </c>
      <c r="D37" s="24">
        <f>SUM(D39:D76)</f>
        <v>138836.33899999998</v>
      </c>
      <c r="E37" s="24">
        <f>SUM(E39:E76)</f>
        <v>11514.808999999999</v>
      </c>
    </row>
    <row r="38" spans="1:5" x14ac:dyDescent="0.2">
      <c r="A38" s="13"/>
      <c r="B38" s="17" t="s">
        <v>68</v>
      </c>
      <c r="C38" s="25"/>
      <c r="D38" s="25"/>
      <c r="E38" s="15"/>
    </row>
    <row r="39" spans="1:5" ht="25.5" x14ac:dyDescent="0.2">
      <c r="A39" s="22" t="s">
        <v>21</v>
      </c>
      <c r="B39" s="16" t="s">
        <v>82</v>
      </c>
      <c r="C39" s="25">
        <f t="shared" si="0"/>
        <v>3235</v>
      </c>
      <c r="D39" s="25">
        <v>3235</v>
      </c>
      <c r="E39" s="15">
        <v>0</v>
      </c>
    </row>
    <row r="40" spans="1:5" x14ac:dyDescent="0.2">
      <c r="A40" s="22" t="s">
        <v>22</v>
      </c>
      <c r="B40" s="16" t="s">
        <v>83</v>
      </c>
      <c r="C40" s="25">
        <f t="shared" si="0"/>
        <v>3855</v>
      </c>
      <c r="D40" s="25">
        <v>3855</v>
      </c>
      <c r="E40" s="15">
        <v>0</v>
      </c>
    </row>
    <row r="41" spans="1:5" x14ac:dyDescent="0.2">
      <c r="A41" s="22" t="s">
        <v>23</v>
      </c>
      <c r="B41" s="16" t="s">
        <v>125</v>
      </c>
      <c r="C41" s="25">
        <f t="shared" si="0"/>
        <v>0</v>
      </c>
      <c r="D41" s="25">
        <v>0</v>
      </c>
      <c r="E41" s="15">
        <v>0</v>
      </c>
    </row>
    <row r="42" spans="1:5" x14ac:dyDescent="0.2">
      <c r="A42" s="22" t="s">
        <v>24</v>
      </c>
      <c r="B42" s="16" t="s">
        <v>84</v>
      </c>
      <c r="C42" s="25">
        <f t="shared" si="0"/>
        <v>5250</v>
      </c>
      <c r="D42" s="25">
        <v>5250</v>
      </c>
      <c r="E42" s="15">
        <v>0</v>
      </c>
    </row>
    <row r="43" spans="1:5" x14ac:dyDescent="0.2">
      <c r="A43" s="22" t="s">
        <v>25</v>
      </c>
      <c r="B43" s="16" t="s">
        <v>85</v>
      </c>
      <c r="C43" s="25">
        <f t="shared" si="0"/>
        <v>0</v>
      </c>
      <c r="D43" s="25">
        <v>0</v>
      </c>
      <c r="E43" s="15">
        <v>0</v>
      </c>
    </row>
    <row r="44" spans="1:5" x14ac:dyDescent="0.2">
      <c r="A44" s="22" t="s">
        <v>26</v>
      </c>
      <c r="B44" s="16" t="s">
        <v>86</v>
      </c>
      <c r="C44" s="25">
        <f t="shared" si="0"/>
        <v>0</v>
      </c>
      <c r="D44" s="25">
        <v>0</v>
      </c>
      <c r="E44" s="15">
        <v>0</v>
      </c>
    </row>
    <row r="45" spans="1:5" x14ac:dyDescent="0.2">
      <c r="A45" s="22" t="s">
        <v>27</v>
      </c>
      <c r="B45" s="16" t="s">
        <v>87</v>
      </c>
      <c r="C45" s="25">
        <f t="shared" si="0"/>
        <v>178.2</v>
      </c>
      <c r="D45" s="25">
        <v>178.2</v>
      </c>
      <c r="E45" s="15">
        <v>0</v>
      </c>
    </row>
    <row r="46" spans="1:5" x14ac:dyDescent="0.2">
      <c r="A46" s="22" t="s">
        <v>28</v>
      </c>
      <c r="B46" s="16" t="s">
        <v>126</v>
      </c>
      <c r="C46" s="25">
        <f t="shared" si="0"/>
        <v>0</v>
      </c>
      <c r="D46" s="25">
        <v>0</v>
      </c>
      <c r="E46" s="15">
        <v>0</v>
      </c>
    </row>
    <row r="47" spans="1:5" x14ac:dyDescent="0.2">
      <c r="A47" s="22" t="s">
        <v>29</v>
      </c>
      <c r="B47" s="16" t="s">
        <v>88</v>
      </c>
      <c r="C47" s="25">
        <f t="shared" si="0"/>
        <v>3230.8290000000002</v>
      </c>
      <c r="D47" s="25">
        <v>3230.8290000000002</v>
      </c>
      <c r="E47" s="15">
        <v>0</v>
      </c>
    </row>
    <row r="48" spans="1:5" x14ac:dyDescent="0.2">
      <c r="A48" s="22" t="s">
        <v>30</v>
      </c>
      <c r="B48" s="16" t="s">
        <v>89</v>
      </c>
      <c r="C48" s="25">
        <f t="shared" si="0"/>
        <v>7080.4290000000001</v>
      </c>
      <c r="D48" s="25">
        <v>7080.4290000000001</v>
      </c>
      <c r="E48" s="15">
        <v>0</v>
      </c>
    </row>
    <row r="49" spans="1:5" x14ac:dyDescent="0.2">
      <c r="A49" s="22" t="s">
        <v>31</v>
      </c>
      <c r="B49" s="16" t="s">
        <v>90</v>
      </c>
      <c r="C49" s="25">
        <f t="shared" si="0"/>
        <v>3960</v>
      </c>
      <c r="D49" s="25">
        <v>3960</v>
      </c>
      <c r="E49" s="15">
        <v>0</v>
      </c>
    </row>
    <row r="50" spans="1:5" x14ac:dyDescent="0.2">
      <c r="A50" s="22" t="s">
        <v>32</v>
      </c>
      <c r="B50" s="16" t="s">
        <v>91</v>
      </c>
      <c r="C50" s="25">
        <f t="shared" si="0"/>
        <v>1401.2440000000001</v>
      </c>
      <c r="D50" s="25">
        <v>1401.2440000000001</v>
      </c>
      <c r="E50" s="15">
        <v>0</v>
      </c>
    </row>
    <row r="51" spans="1:5" x14ac:dyDescent="0.2">
      <c r="A51" s="22" t="s">
        <v>33</v>
      </c>
      <c r="B51" s="16" t="s">
        <v>92</v>
      </c>
      <c r="C51" s="25">
        <f t="shared" si="0"/>
        <v>2879.4780000000001</v>
      </c>
      <c r="D51" s="25">
        <v>2879.4780000000001</v>
      </c>
      <c r="E51" s="15">
        <v>0</v>
      </c>
    </row>
    <row r="52" spans="1:5" x14ac:dyDescent="0.2">
      <c r="A52" s="22" t="s">
        <v>34</v>
      </c>
      <c r="B52" s="16" t="s">
        <v>94</v>
      </c>
      <c r="C52" s="25">
        <f t="shared" si="0"/>
        <v>0</v>
      </c>
      <c r="D52" s="25">
        <v>0</v>
      </c>
      <c r="E52" s="15">
        <v>0</v>
      </c>
    </row>
    <row r="53" spans="1:5" x14ac:dyDescent="0.2">
      <c r="A53" s="22" t="s">
        <v>35</v>
      </c>
      <c r="B53" s="16" t="s">
        <v>93</v>
      </c>
      <c r="C53" s="25">
        <f t="shared" si="0"/>
        <v>0</v>
      </c>
      <c r="D53" s="25">
        <v>0</v>
      </c>
      <c r="E53" s="15">
        <v>0</v>
      </c>
    </row>
    <row r="54" spans="1:5" x14ac:dyDescent="0.2">
      <c r="A54" s="22" t="s">
        <v>36</v>
      </c>
      <c r="B54" s="16" t="s">
        <v>95</v>
      </c>
      <c r="C54" s="25">
        <f t="shared" si="0"/>
        <v>395.35199999999998</v>
      </c>
      <c r="D54" s="25">
        <v>0</v>
      </c>
      <c r="E54" s="25">
        <v>395.35199999999998</v>
      </c>
    </row>
    <row r="55" spans="1:5" x14ac:dyDescent="0.2">
      <c r="A55" s="22" t="s">
        <v>37</v>
      </c>
      <c r="B55" s="16" t="s">
        <v>96</v>
      </c>
      <c r="C55" s="25">
        <f t="shared" si="0"/>
        <v>1991.799</v>
      </c>
      <c r="D55" s="25">
        <v>0</v>
      </c>
      <c r="E55" s="25">
        <v>1991.799</v>
      </c>
    </row>
    <row r="56" spans="1:5" x14ac:dyDescent="0.2">
      <c r="A56" s="22" t="s">
        <v>38</v>
      </c>
      <c r="B56" s="16" t="s">
        <v>97</v>
      </c>
      <c r="C56" s="25">
        <f t="shared" si="0"/>
        <v>100.116</v>
      </c>
      <c r="D56" s="25">
        <v>0</v>
      </c>
      <c r="E56" s="25">
        <v>100.116</v>
      </c>
    </row>
    <row r="57" spans="1:5" x14ac:dyDescent="0.2">
      <c r="A57" s="22" t="s">
        <v>39</v>
      </c>
      <c r="B57" s="16" t="s">
        <v>127</v>
      </c>
      <c r="C57" s="25">
        <f t="shared" si="0"/>
        <v>27.542000000000002</v>
      </c>
      <c r="D57" s="25">
        <v>0</v>
      </c>
      <c r="E57" s="25">
        <v>27.542000000000002</v>
      </c>
    </row>
    <row r="58" spans="1:5" x14ac:dyDescent="0.2">
      <c r="A58" s="22" t="s">
        <v>40</v>
      </c>
      <c r="B58" s="16" t="s">
        <v>98</v>
      </c>
      <c r="C58" s="25">
        <f t="shared" si="0"/>
        <v>0</v>
      </c>
      <c r="D58" s="25">
        <v>0</v>
      </c>
      <c r="E58" s="25">
        <v>0</v>
      </c>
    </row>
    <row r="59" spans="1:5" x14ac:dyDescent="0.2">
      <c r="A59" s="22" t="s">
        <v>41</v>
      </c>
      <c r="B59" s="16" t="s">
        <v>99</v>
      </c>
      <c r="C59" s="25">
        <f t="shared" si="0"/>
        <v>0</v>
      </c>
      <c r="D59" s="25">
        <v>0</v>
      </c>
      <c r="E59" s="25">
        <v>0</v>
      </c>
    </row>
    <row r="60" spans="1:5" x14ac:dyDescent="0.2">
      <c r="A60" s="22" t="s">
        <v>42</v>
      </c>
      <c r="B60" s="16" t="s">
        <v>100</v>
      </c>
      <c r="C60" s="25">
        <f t="shared" si="0"/>
        <v>0</v>
      </c>
      <c r="D60" s="25">
        <v>0</v>
      </c>
      <c r="E60" s="25">
        <v>0</v>
      </c>
    </row>
    <row r="61" spans="1:5" x14ac:dyDescent="0.2">
      <c r="A61" s="22" t="s">
        <v>43</v>
      </c>
      <c r="B61" s="16" t="s">
        <v>128</v>
      </c>
      <c r="C61" s="25">
        <f t="shared" si="0"/>
        <v>0</v>
      </c>
      <c r="D61" s="25">
        <v>0</v>
      </c>
      <c r="E61" s="25">
        <v>0</v>
      </c>
    </row>
    <row r="62" spans="1:5" x14ac:dyDescent="0.2">
      <c r="A62" s="22" t="s">
        <v>44</v>
      </c>
      <c r="B62" s="16" t="s">
        <v>101</v>
      </c>
      <c r="C62" s="25">
        <f t="shared" si="0"/>
        <v>0</v>
      </c>
      <c r="D62" s="25">
        <v>0</v>
      </c>
      <c r="E62" s="25">
        <v>0</v>
      </c>
    </row>
    <row r="63" spans="1:5" x14ac:dyDescent="0.2">
      <c r="A63" s="22" t="s">
        <v>45</v>
      </c>
      <c r="B63" s="16" t="s">
        <v>102</v>
      </c>
      <c r="C63" s="25">
        <f t="shared" si="0"/>
        <v>201.74</v>
      </c>
      <c r="D63" s="25">
        <v>201.74</v>
      </c>
      <c r="E63" s="25">
        <v>0</v>
      </c>
    </row>
    <row r="64" spans="1:5" x14ac:dyDescent="0.2">
      <c r="A64" s="22" t="s">
        <v>46</v>
      </c>
      <c r="B64" s="16" t="s">
        <v>103</v>
      </c>
      <c r="C64" s="25">
        <f t="shared" si="0"/>
        <v>0</v>
      </c>
      <c r="D64" s="25">
        <v>0</v>
      </c>
      <c r="E64" s="25">
        <v>0</v>
      </c>
    </row>
    <row r="65" spans="1:5" x14ac:dyDescent="0.2">
      <c r="A65" s="22" t="s">
        <v>47</v>
      </c>
      <c r="B65" s="16" t="s">
        <v>104</v>
      </c>
      <c r="C65" s="25">
        <f t="shared" si="0"/>
        <v>0</v>
      </c>
      <c r="D65" s="25">
        <v>0</v>
      </c>
      <c r="E65" s="25">
        <v>0</v>
      </c>
    </row>
    <row r="66" spans="1:5" x14ac:dyDescent="0.2">
      <c r="A66" s="22" t="s">
        <v>48</v>
      </c>
      <c r="B66" s="16" t="s">
        <v>129</v>
      </c>
      <c r="C66" s="25">
        <f t="shared" si="0"/>
        <v>28045.946</v>
      </c>
      <c r="D66" s="25">
        <v>28045.946</v>
      </c>
      <c r="E66" s="25">
        <v>0</v>
      </c>
    </row>
    <row r="67" spans="1:5" x14ac:dyDescent="0.2">
      <c r="A67" s="22" t="s">
        <v>49</v>
      </c>
      <c r="B67" s="16" t="s">
        <v>105</v>
      </c>
      <c r="C67" s="25">
        <f t="shared" si="0"/>
        <v>0</v>
      </c>
      <c r="D67" s="25">
        <v>0</v>
      </c>
      <c r="E67" s="25">
        <v>0</v>
      </c>
    </row>
    <row r="68" spans="1:5" x14ac:dyDescent="0.2">
      <c r="A68" s="22" t="s">
        <v>50</v>
      </c>
      <c r="B68" s="16" t="s">
        <v>106</v>
      </c>
      <c r="C68" s="25">
        <f t="shared" si="0"/>
        <v>5625</v>
      </c>
      <c r="D68" s="25">
        <v>5625</v>
      </c>
      <c r="E68" s="25">
        <v>0</v>
      </c>
    </row>
    <row r="69" spans="1:5" x14ac:dyDescent="0.2">
      <c r="A69" s="22" t="s">
        <v>51</v>
      </c>
      <c r="B69" s="16" t="s">
        <v>107</v>
      </c>
      <c r="C69" s="25">
        <f t="shared" si="0"/>
        <v>3542</v>
      </c>
      <c r="D69" s="25">
        <v>3542</v>
      </c>
      <c r="E69" s="25">
        <v>0</v>
      </c>
    </row>
    <row r="70" spans="1:5" x14ac:dyDescent="0.2">
      <c r="A70" s="22" t="s">
        <v>52</v>
      </c>
      <c r="B70" s="16" t="s">
        <v>108</v>
      </c>
      <c r="C70" s="25">
        <f t="shared" si="0"/>
        <v>0</v>
      </c>
      <c r="D70" s="25">
        <v>0</v>
      </c>
      <c r="E70" s="25">
        <v>0</v>
      </c>
    </row>
    <row r="71" spans="1:5" x14ac:dyDescent="0.2">
      <c r="A71" s="22" t="s">
        <v>53</v>
      </c>
      <c r="B71" s="16" t="s">
        <v>109</v>
      </c>
      <c r="C71" s="25">
        <f t="shared" si="0"/>
        <v>8249</v>
      </c>
      <c r="D71" s="25">
        <v>8249</v>
      </c>
      <c r="E71" s="25">
        <v>0</v>
      </c>
    </row>
    <row r="72" spans="1:5" x14ac:dyDescent="0.2">
      <c r="A72" s="22" t="s">
        <v>54</v>
      </c>
      <c r="B72" s="5" t="s">
        <v>110</v>
      </c>
      <c r="C72" s="25">
        <f t="shared" si="0"/>
        <v>0</v>
      </c>
      <c r="D72" s="25">
        <v>0</v>
      </c>
      <c r="E72" s="25">
        <v>0</v>
      </c>
    </row>
    <row r="73" spans="1:5" x14ac:dyDescent="0.2">
      <c r="A73" s="22" t="s">
        <v>55</v>
      </c>
      <c r="B73" s="16" t="s">
        <v>111</v>
      </c>
      <c r="C73" s="25">
        <f t="shared" ref="C73:C77" si="1">D73+E73</f>
        <v>0</v>
      </c>
      <c r="D73" s="25">
        <v>0</v>
      </c>
      <c r="E73" s="25">
        <v>0</v>
      </c>
    </row>
    <row r="74" spans="1:5" x14ac:dyDescent="0.2">
      <c r="A74" s="22" t="s">
        <v>56</v>
      </c>
      <c r="B74" s="16" t="s">
        <v>112</v>
      </c>
      <c r="C74" s="25">
        <f t="shared" si="1"/>
        <v>0</v>
      </c>
      <c r="D74" s="25">
        <v>0</v>
      </c>
      <c r="E74" s="25">
        <v>0</v>
      </c>
    </row>
    <row r="75" spans="1:5" x14ac:dyDescent="0.2">
      <c r="A75" s="22" t="s">
        <v>57</v>
      </c>
      <c r="B75" s="16" t="s">
        <v>113</v>
      </c>
      <c r="C75" s="25">
        <f t="shared" si="1"/>
        <v>49905.539999999994</v>
      </c>
      <c r="D75" s="25">
        <v>49905.539999999994</v>
      </c>
      <c r="E75" s="25">
        <v>0</v>
      </c>
    </row>
    <row r="76" spans="1:5" x14ac:dyDescent="0.2">
      <c r="A76" s="22" t="s">
        <v>58</v>
      </c>
      <c r="B76" s="16" t="s">
        <v>81</v>
      </c>
      <c r="C76" s="25">
        <f t="shared" si="1"/>
        <v>21196.933000000001</v>
      </c>
      <c r="D76" s="25">
        <v>12196.933000000001</v>
      </c>
      <c r="E76" s="25">
        <v>9000</v>
      </c>
    </row>
    <row r="77" spans="1:5" ht="15.75" customHeight="1" x14ac:dyDescent="0.2">
      <c r="A77" s="13"/>
      <c r="B77" s="23" t="s">
        <v>114</v>
      </c>
      <c r="C77" s="24">
        <f t="shared" si="1"/>
        <v>3988948.0889625004</v>
      </c>
      <c r="D77" s="29">
        <f>D7+D18+D31+D32+D33+D37</f>
        <v>3831276.6929625003</v>
      </c>
      <c r="E77" s="29">
        <f>+E7+E18+E31+E33+E37</f>
        <v>157671.39600000001</v>
      </c>
    </row>
  </sheetData>
  <mergeCells count="5">
    <mergeCell ref="A5:A6"/>
    <mergeCell ref="B5:B6"/>
    <mergeCell ref="C5:E5"/>
    <mergeCell ref="A1:E2"/>
    <mergeCell ref="A3:E3"/>
  </mergeCells>
  <pageMargins left="0.78740157480314965" right="0.39370078740157483" top="0" bottom="0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2а-илова</vt:lpstr>
      <vt:lpstr>'2а-илова'!Область_печати</vt:lpstr>
    </vt:vector>
  </TitlesOfParts>
  <Company>ngm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Talgat E. Nurmaxanov</cp:lastModifiedBy>
  <cp:lastPrinted>2026-04-27T09:53:30Z</cp:lastPrinted>
  <dcterms:created xsi:type="dcterms:W3CDTF">2003-09-08T10:43:31Z</dcterms:created>
  <dcterms:modified xsi:type="dcterms:W3CDTF">2026-04-27T09:53:33Z</dcterms:modified>
</cp:coreProperties>
</file>