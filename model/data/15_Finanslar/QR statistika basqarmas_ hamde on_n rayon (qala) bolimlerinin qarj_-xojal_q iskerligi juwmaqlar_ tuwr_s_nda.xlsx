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ЭтаКнига" defaultThemeVersion="124226"/>
  <bookViews>
    <workbookView xWindow="285" yWindow="615" windowWidth="16890" windowHeight="11160" tabRatio="764"/>
  </bookViews>
  <sheets>
    <sheet name="2-илова" sheetId="39" r:id="rId1"/>
  </sheets>
  <calcPr calcId="144525"/>
</workbook>
</file>

<file path=xl/calcChain.xml><?xml version="1.0" encoding="utf-8"?>
<calcChain xmlns="http://schemas.openxmlformats.org/spreadsheetml/2006/main">
  <c r="C24" i="39" l="1"/>
  <c r="C23" i="39"/>
  <c r="C22" i="39"/>
  <c r="C21" i="39"/>
  <c r="C20" i="39"/>
  <c r="C19" i="39"/>
  <c r="C18" i="39"/>
  <c r="C17" i="39"/>
  <c r="C16" i="39"/>
  <c r="C15" i="39"/>
  <c r="C14" i="39"/>
  <c r="C13" i="39"/>
  <c r="C12" i="39"/>
  <c r="C11" i="39"/>
  <c r="C10" i="39"/>
  <c r="C9" i="39"/>
  <c r="C8" i="39"/>
  <c r="C7" i="39"/>
  <c r="G25" i="39" l="1"/>
  <c r="G26" i="39" s="1"/>
  <c r="C25" i="39"/>
  <c r="D25" i="39"/>
  <c r="E25" i="39"/>
  <c r="F25" i="39"/>
  <c r="H25" i="39"/>
  <c r="I25" i="39"/>
  <c r="C26" i="39"/>
  <c r="D26" i="39"/>
  <c r="E26" i="39"/>
  <c r="F26" i="39"/>
  <c r="H26" i="39"/>
  <c r="I26" i="39"/>
</calcChain>
</file>

<file path=xl/sharedStrings.xml><?xml version="1.0" encoding="utf-8"?>
<sst xmlns="http://schemas.openxmlformats.org/spreadsheetml/2006/main" count="35" uniqueCount="35">
  <si>
    <t>№</t>
  </si>
  <si>
    <t xml:space="preserve">2-qosımsha </t>
  </si>
  <si>
    <t>Basqarma, rayon (qala) statistika bólimleri</t>
  </si>
  <si>
    <t>Sonday-aq :</t>
  </si>
  <si>
    <t>Jámi</t>
  </si>
  <si>
    <t>Kommerciyalıq iskerligi</t>
  </si>
  <si>
    <t>Mámleketlik buyırtpası</t>
  </si>
  <si>
    <t xml:space="preserve">Dizimdegi xızmetkerlerdiń ortasha sanı </t>
  </si>
  <si>
    <t>Kommerciyalıq iskerliginiń jámi jumıs kólemindegi úlesi (%)</t>
  </si>
  <si>
    <t>Tiykarǵı iskerlik túri boyınsha jumıs kólemi, mıń som</t>
  </si>
  <si>
    <t>Xojalıq iskerliginiń basqa dáramatları, mıń som</t>
  </si>
  <si>
    <t>Miynet haqı fondı jámi, mıń som</t>
  </si>
  <si>
    <t>mıń somda</t>
  </si>
  <si>
    <t>Ortasha aylıq miynet haqı, mıń som</t>
  </si>
  <si>
    <t>Basqarma</t>
  </si>
  <si>
    <t>Ámudárya</t>
  </si>
  <si>
    <t>Beruniy</t>
  </si>
  <si>
    <t>Bozataw</t>
  </si>
  <si>
    <t>Qaraózek</t>
  </si>
  <si>
    <t>Kegeyli</t>
  </si>
  <si>
    <t>Qońırat</t>
  </si>
  <si>
    <t>Qanlıkól</t>
  </si>
  <si>
    <t>Moynaq</t>
  </si>
  <si>
    <t>Nókis rayon</t>
  </si>
  <si>
    <t>Taqiyatas</t>
  </si>
  <si>
    <t>Taxtakópir</t>
  </si>
  <si>
    <t>Tórtkól</t>
  </si>
  <si>
    <t>Xojeyli</t>
  </si>
  <si>
    <t>Shımbay</t>
  </si>
  <si>
    <t>Shomanay</t>
  </si>
  <si>
    <t>Ellikqala</t>
  </si>
  <si>
    <t>Nókis qalası</t>
  </si>
  <si>
    <t>JÁMI:</t>
  </si>
  <si>
    <t>Rayon (qala)lar boyınsha jámi:</t>
  </si>
  <si>
    <t>2026-jıl yanvar-ьфке aylarında Qaraqalpaqstan Respublikası statistika basqarması hámde onıń rayon (qala) bólimleriniń qarjı-xojalıq iskerligi juwmaqları tuwrısında 
 MAǴLÍWMAT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</si>
</sst>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р_._-;\-* #,##0.00_р_._-;_-* &quot;-&quot;??_р_._-;_-@_-"/>
    <numFmt numFmtId="165" formatCode="_(* #,##0.00_);_(* \(#,##0.00\);_(* &quot;-&quot;??_);_(@_)"/>
    <numFmt numFmtId="166" formatCode="#,##0.0"/>
  </numFmts>
  <fonts count="24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i/>
      <sz val="12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Arial"/>
      <family val="2"/>
    </font>
    <font>
      <sz val="6"/>
      <name val="Arial Cyr"/>
      <charset val="204"/>
    </font>
    <font>
      <sz val="8"/>
      <name val="Arial"/>
      <family val="2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60">
    <xf numFmtId="0" fontId="0" fillId="0" borderId="0"/>
    <xf numFmtId="0" fontId="13" fillId="0" borderId="0"/>
    <xf numFmtId="0" fontId="7" fillId="0" borderId="0"/>
    <xf numFmtId="0" fontId="12" fillId="0" borderId="0"/>
    <xf numFmtId="0" fontId="15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9" fontId="9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16" fillId="0" borderId="0"/>
    <xf numFmtId="0" fontId="6" fillId="0" borderId="0"/>
    <xf numFmtId="0" fontId="17" fillId="0" borderId="0"/>
    <xf numFmtId="0" fontId="12" fillId="0" borderId="0"/>
    <xf numFmtId="0" fontId="5" fillId="0" borderId="0"/>
    <xf numFmtId="0" fontId="6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4" fillId="0" borderId="0"/>
    <xf numFmtId="0" fontId="6" fillId="0" borderId="0"/>
    <xf numFmtId="0" fontId="17" fillId="0" borderId="0"/>
    <xf numFmtId="0" fontId="18" fillId="0" borderId="0"/>
    <xf numFmtId="0" fontId="12" fillId="0" borderId="0"/>
    <xf numFmtId="0" fontId="4" fillId="0" borderId="0"/>
    <xf numFmtId="0" fontId="17" fillId="0" borderId="0"/>
    <xf numFmtId="0" fontId="3" fillId="0" borderId="0"/>
    <xf numFmtId="0" fontId="6" fillId="0" borderId="0"/>
    <xf numFmtId="0" fontId="12" fillId="0" borderId="0"/>
    <xf numFmtId="0" fontId="3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3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0" fillId="0" borderId="0"/>
    <xf numFmtId="164" fontId="21" fillId="0" borderId="0" applyFill="0" applyBorder="0" applyAlignment="0" applyProtection="0"/>
    <xf numFmtId="0" fontId="1" fillId="0" borderId="0"/>
    <xf numFmtId="0" fontId="6" fillId="0" borderId="0"/>
    <xf numFmtId="0" fontId="1" fillId="0" borderId="0"/>
    <xf numFmtId="165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2" fillId="0" borderId="0" applyFill="0" applyBorder="0" applyAlignment="0" applyProtection="0"/>
    <xf numFmtId="0" fontId="6" fillId="0" borderId="0"/>
  </cellStyleXfs>
  <cellXfs count="25">
    <xf numFmtId="0" fontId="0" fillId="0" borderId="0" xfId="0"/>
    <xf numFmtId="0" fontId="10" fillId="0" borderId="0" xfId="9" applyFont="1" applyFill="1" applyAlignment="1">
      <alignment wrapText="1"/>
    </xf>
    <xf numFmtId="0" fontId="10" fillId="0" borderId="0" xfId="9" applyFont="1" applyFill="1" applyAlignment="1">
      <alignment horizontal="center"/>
    </xf>
    <xf numFmtId="0" fontId="10" fillId="0" borderId="0" xfId="9" applyFont="1" applyFill="1"/>
    <xf numFmtId="0" fontId="10" fillId="0" borderId="0" xfId="9" applyFont="1" applyFill="1" applyAlignment="1">
      <alignment horizontal="center" vertical="center"/>
    </xf>
    <xf numFmtId="0" fontId="14" fillId="0" borderId="0" xfId="9" applyFont="1" applyFill="1"/>
    <xf numFmtId="0" fontId="10" fillId="0" borderId="0" xfId="8" applyFont="1" applyFill="1" applyAlignment="1">
      <alignment horizontal="left" vertical="center" wrapText="1"/>
    </xf>
    <xf numFmtId="0" fontId="8" fillId="0" borderId="1" xfId="9" applyFont="1" applyFill="1" applyBorder="1" applyAlignment="1">
      <alignment horizontal="center" vertical="center" wrapText="1"/>
    </xf>
    <xf numFmtId="0" fontId="22" fillId="0" borderId="8" xfId="10" applyNumberFormat="1" applyFont="1" applyFill="1" applyBorder="1" applyAlignment="1">
      <alignment horizontal="center" vertical="center" wrapText="1"/>
    </xf>
    <xf numFmtId="166" fontId="22" fillId="0" borderId="8" xfId="9" applyNumberFormat="1" applyFont="1" applyFill="1" applyBorder="1" applyAlignment="1">
      <alignment horizontal="center" vertical="center" wrapText="1"/>
    </xf>
    <xf numFmtId="0" fontId="22" fillId="0" borderId="9" xfId="10" applyNumberFormat="1" applyFont="1" applyFill="1" applyBorder="1" applyAlignment="1">
      <alignment horizontal="center" vertical="center" wrapText="1"/>
    </xf>
    <xf numFmtId="0" fontId="11" fillId="0" borderId="9" xfId="9" applyFont="1" applyFill="1" applyBorder="1" applyAlignment="1">
      <alignment horizontal="center"/>
    </xf>
    <xf numFmtId="0" fontId="22" fillId="0" borderId="9" xfId="9" applyFont="1" applyFill="1" applyBorder="1" applyAlignment="1">
      <alignment vertical="center"/>
    </xf>
    <xf numFmtId="166" fontId="11" fillId="0" borderId="9" xfId="9" applyNumberFormat="1" applyFont="1" applyFill="1" applyBorder="1" applyAlignment="1">
      <alignment horizontal="center" vertical="center" wrapText="1"/>
    </xf>
    <xf numFmtId="0" fontId="11" fillId="0" borderId="9" xfId="9" applyFont="1" applyFill="1" applyBorder="1" applyAlignment="1">
      <alignment horizontal="center" vertical="center"/>
    </xf>
    <xf numFmtId="0" fontId="11" fillId="0" borderId="8" xfId="59" applyFont="1" applyFill="1" applyBorder="1" applyAlignment="1">
      <alignment horizontal="left" vertical="center" wrapText="1" indent="1"/>
    </xf>
    <xf numFmtId="0" fontId="23" fillId="0" borderId="9" xfId="4" applyNumberFormat="1" applyFont="1" applyFill="1" applyBorder="1" applyAlignment="1">
      <alignment horizontal="left" vertical="center" wrapText="1" indent="1"/>
    </xf>
    <xf numFmtId="0" fontId="8" fillId="0" borderId="0" xfId="10" applyFont="1" applyFill="1" applyAlignment="1">
      <alignment horizontal="center" vertical="center" wrapText="1"/>
    </xf>
    <xf numFmtId="0" fontId="8" fillId="0" borderId="0" xfId="9" applyFont="1" applyFill="1" applyAlignment="1">
      <alignment horizontal="center" vertical="center" wrapText="1"/>
    </xf>
    <xf numFmtId="0" fontId="8" fillId="0" borderId="6" xfId="9" applyFont="1" applyFill="1" applyBorder="1" applyAlignment="1">
      <alignment horizontal="center" vertical="center" wrapText="1"/>
    </xf>
    <xf numFmtId="0" fontId="8" fillId="0" borderId="7" xfId="9" applyFont="1" applyFill="1" applyBorder="1" applyAlignment="1">
      <alignment horizontal="center" vertical="center" wrapText="1"/>
    </xf>
    <xf numFmtId="0" fontId="8" fillId="0" borderId="2" xfId="9" applyFont="1" applyFill="1" applyBorder="1" applyAlignment="1">
      <alignment horizontal="center" vertical="center" wrapText="1"/>
    </xf>
    <xf numFmtId="0" fontId="8" fillId="0" borderId="3" xfId="9" applyFont="1" applyFill="1" applyBorder="1" applyAlignment="1">
      <alignment horizontal="center" vertical="center" wrapText="1"/>
    </xf>
    <xf numFmtId="0" fontId="8" fillId="0" borderId="5" xfId="9" applyFont="1" applyFill="1" applyBorder="1" applyAlignment="1">
      <alignment horizontal="center" vertical="center" wrapText="1"/>
    </xf>
    <xf numFmtId="0" fontId="8" fillId="0" borderId="4" xfId="9" applyFont="1" applyFill="1" applyBorder="1" applyAlignment="1">
      <alignment horizontal="center" vertical="center" wrapText="1"/>
    </xf>
  </cellXfs>
  <cellStyles count="60">
    <cellStyle name="Обычный" xfId="0" builtinId="0"/>
    <cellStyle name="Обычный 10" xfId="40"/>
    <cellStyle name="Обычный 10 2" xfId="57"/>
    <cellStyle name="Обычный 11" xfId="44"/>
    <cellStyle name="Обычный 12" xfId="43"/>
    <cellStyle name="Обычный 2" xfId="1"/>
    <cellStyle name="Обычный 2 2" xfId="2"/>
    <cellStyle name="Обычный 2 2 2" xfId="15"/>
    <cellStyle name="Обычный 2 3" xfId="3"/>
    <cellStyle name="Обычный 2 4" xfId="4"/>
    <cellStyle name="Обычный 2 4 2" xfId="18"/>
    <cellStyle name="Обычный 2 4 2 2" xfId="37"/>
    <cellStyle name="Обычный 2 4 2 2 2" xfId="54"/>
    <cellStyle name="Обычный 2 4 2 3" xfId="48"/>
    <cellStyle name="Обычный 2 4 3" xfId="24"/>
    <cellStyle name="Обычный 2 4 4" xfId="32"/>
    <cellStyle name="Обычный 2 4 4 2" xfId="52"/>
    <cellStyle name="Обычный 2 4 5" xfId="45"/>
    <cellStyle name="Обычный 2 5" xfId="17"/>
    <cellStyle name="Обычный 2 6" xfId="14"/>
    <cellStyle name="Обычный 2 6 2" xfId="36"/>
    <cellStyle name="Обычный 2 7" xfId="31"/>
    <cellStyle name="Обычный 2 8" xfId="41"/>
    <cellStyle name="Обычный 3" xfId="5"/>
    <cellStyle name="Обычный 3 2" xfId="19"/>
    <cellStyle name="Обычный 3 3" xfId="16"/>
    <cellStyle name="Обычный 3 4" xfId="25"/>
    <cellStyle name="Обычный 4" xfId="13"/>
    <cellStyle name="Обычный 4 2" xfId="26"/>
    <cellStyle name="Обычный 4 3" xfId="35"/>
    <cellStyle name="Обычный 4 3 2" xfId="53"/>
    <cellStyle name="Обычный 4 4" xfId="47"/>
    <cellStyle name="Обычный 5" xfId="6"/>
    <cellStyle name="Обычный 5 2" xfId="27"/>
    <cellStyle name="Обычный 5 2 2" xfId="39"/>
    <cellStyle name="Обычный 5 2 2 2" xfId="56"/>
    <cellStyle name="Обычный 5 2 3" xfId="50"/>
    <cellStyle name="Обычный 6" xfId="7"/>
    <cellStyle name="Обычный 6 2" xfId="23"/>
    <cellStyle name="Обычный 7" xfId="22"/>
    <cellStyle name="Обычный 7 2" xfId="38"/>
    <cellStyle name="Обычный 7 2 2" xfId="55"/>
    <cellStyle name="Обычный 7 3" xfId="49"/>
    <cellStyle name="Обычный 8" xfId="30"/>
    <cellStyle name="Обычный 9" xfId="29"/>
    <cellStyle name="Обычный 9 2" xfId="51"/>
    <cellStyle name="Обычный_Информация о всех начислениях" xfId="8"/>
    <cellStyle name="Обычный_Информация о всех начислениях 2" xfId="59"/>
    <cellStyle name="Обычный_Итоги произ-хоз.деят. 2011" xfId="9"/>
    <cellStyle name="Обычный_Распределение Госзаказ 2011" xfId="10"/>
    <cellStyle name="Процентный 2" xfId="11"/>
    <cellStyle name="Финансовый 2" xfId="12"/>
    <cellStyle name="Финансовый 2 2" xfId="21"/>
    <cellStyle name="Финансовый 2 2 2" xfId="28"/>
    <cellStyle name="Финансовый 2 3" xfId="34"/>
    <cellStyle name="Финансовый 2 4" xfId="42"/>
    <cellStyle name="Финансовый 2 4 2" xfId="58"/>
    <cellStyle name="Финансовый 3" xfId="20"/>
    <cellStyle name="Финансовый 4" xfId="33"/>
    <cellStyle name="Финансовый 5" xfId="4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26"/>
  <sheetViews>
    <sheetView tabSelected="1" view="pageBreakPreview" zoomScaleNormal="100" zoomScaleSheetLayoutView="100" workbookViewId="0">
      <selection activeCell="A2" sqref="A2:J2"/>
    </sheetView>
  </sheetViews>
  <sheetFormatPr defaultRowHeight="15.75" x14ac:dyDescent="0.25"/>
  <cols>
    <col min="1" max="1" width="5.85546875" style="2" customWidth="1"/>
    <col min="2" max="2" width="28.5703125" style="3" customWidth="1"/>
    <col min="3" max="3" width="15.28515625" style="3" customWidth="1"/>
    <col min="4" max="4" width="16.85546875" style="3" customWidth="1"/>
    <col min="5" max="5" width="16.140625" style="3" customWidth="1"/>
    <col min="6" max="6" width="15.140625" style="3" customWidth="1"/>
    <col min="7" max="7" width="14.85546875" style="3" customWidth="1"/>
    <col min="8" max="8" width="17" style="3" customWidth="1"/>
    <col min="9" max="9" width="16.28515625" style="3" customWidth="1"/>
    <col min="10" max="10" width="14.42578125" style="3" customWidth="1"/>
    <col min="11" max="16384" width="9.140625" style="3"/>
  </cols>
  <sheetData>
    <row r="1" spans="1:11" ht="18.75" customHeight="1" x14ac:dyDescent="0.25">
      <c r="I1" s="17" t="s">
        <v>1</v>
      </c>
      <c r="J1" s="17"/>
    </row>
    <row r="2" spans="1:11" s="1" customFormat="1" ht="40.5" customHeight="1" x14ac:dyDescent="0.25">
      <c r="A2" s="18" t="s">
        <v>34</v>
      </c>
      <c r="B2" s="18"/>
      <c r="C2" s="18"/>
      <c r="D2" s="18"/>
      <c r="E2" s="18"/>
      <c r="F2" s="18"/>
      <c r="G2" s="18"/>
      <c r="H2" s="18"/>
      <c r="I2" s="18"/>
      <c r="J2" s="18"/>
    </row>
    <row r="3" spans="1:11" ht="18.75" customHeight="1" x14ac:dyDescent="0.25">
      <c r="J3" s="5" t="s">
        <v>12</v>
      </c>
    </row>
    <row r="4" spans="1:11" s="4" customFormat="1" ht="38.25" customHeight="1" x14ac:dyDescent="0.2">
      <c r="A4" s="19" t="s">
        <v>0</v>
      </c>
      <c r="B4" s="19" t="s">
        <v>2</v>
      </c>
      <c r="C4" s="22" t="s">
        <v>9</v>
      </c>
      <c r="D4" s="23"/>
      <c r="E4" s="24"/>
      <c r="F4" s="19" t="s">
        <v>8</v>
      </c>
      <c r="G4" s="19" t="s">
        <v>10</v>
      </c>
      <c r="H4" s="19" t="s">
        <v>7</v>
      </c>
      <c r="I4" s="19" t="s">
        <v>11</v>
      </c>
      <c r="J4" s="19" t="s">
        <v>13</v>
      </c>
    </row>
    <row r="5" spans="1:11" s="4" customFormat="1" x14ac:dyDescent="0.2">
      <c r="A5" s="20"/>
      <c r="B5" s="20"/>
      <c r="C5" s="19" t="s">
        <v>4</v>
      </c>
      <c r="D5" s="22" t="s">
        <v>3</v>
      </c>
      <c r="E5" s="24"/>
      <c r="F5" s="20"/>
      <c r="G5" s="20"/>
      <c r="H5" s="20"/>
      <c r="I5" s="20"/>
      <c r="J5" s="20"/>
    </row>
    <row r="6" spans="1:11" s="4" customFormat="1" ht="49.5" customHeight="1" x14ac:dyDescent="0.2">
      <c r="A6" s="21"/>
      <c r="B6" s="21"/>
      <c r="C6" s="21"/>
      <c r="D6" s="7" t="s">
        <v>6</v>
      </c>
      <c r="E6" s="7" t="s">
        <v>5</v>
      </c>
      <c r="F6" s="21"/>
      <c r="G6" s="21"/>
      <c r="H6" s="21"/>
      <c r="I6" s="21"/>
      <c r="J6" s="21"/>
    </row>
    <row r="7" spans="1:11" ht="18.75" customHeight="1" x14ac:dyDescent="0.25">
      <c r="A7" s="8">
        <v>1</v>
      </c>
      <c r="B7" s="15" t="s">
        <v>14</v>
      </c>
      <c r="C7" s="9">
        <f>+D7+E7</f>
        <v>2178715.2223928571</v>
      </c>
      <c r="D7" s="9">
        <v>2145743.4527500002</v>
      </c>
      <c r="E7" s="9">
        <v>32971.769642857136</v>
      </c>
      <c r="F7" s="9">
        <v>1.5133583914030138</v>
      </c>
      <c r="G7" s="9">
        <v>1791</v>
      </c>
      <c r="H7" s="9">
        <v>57</v>
      </c>
      <c r="I7" s="9">
        <v>1732868.2999999998</v>
      </c>
      <c r="J7" s="9">
        <v>10133.73274853801</v>
      </c>
    </row>
    <row r="8" spans="1:11" ht="18.75" customHeight="1" x14ac:dyDescent="0.25">
      <c r="A8" s="10">
        <v>2</v>
      </c>
      <c r="B8" s="16" t="s">
        <v>15</v>
      </c>
      <c r="C8" s="9">
        <f t="shared" ref="C8:C24" si="0">+D8+E8</f>
        <v>143923.04892857143</v>
      </c>
      <c r="D8" s="9">
        <v>87969.477500000008</v>
      </c>
      <c r="E8" s="9">
        <v>55953.57142857142</v>
      </c>
      <c r="F8" s="9">
        <v>38.877422237171345</v>
      </c>
      <c r="G8" s="9"/>
      <c r="H8" s="9">
        <v>3</v>
      </c>
      <c r="I8" s="9">
        <v>73780.941999999995</v>
      </c>
      <c r="J8" s="9">
        <v>8197.8824444444435</v>
      </c>
    </row>
    <row r="9" spans="1:11" ht="18.75" customHeight="1" x14ac:dyDescent="0.25">
      <c r="A9" s="10">
        <v>3</v>
      </c>
      <c r="B9" s="16" t="s">
        <v>16</v>
      </c>
      <c r="C9" s="9">
        <f t="shared" si="0"/>
        <v>82953.621785714291</v>
      </c>
      <c r="D9" s="9">
        <v>76017.907500000001</v>
      </c>
      <c r="E9" s="9">
        <v>6935.7142857142853</v>
      </c>
      <c r="F9" s="9">
        <v>8.3609541529490006</v>
      </c>
      <c r="G9" s="9"/>
      <c r="H9" s="9">
        <v>3</v>
      </c>
      <c r="I9" s="9">
        <v>64219.686000000002</v>
      </c>
      <c r="J9" s="9">
        <v>7135.5206666666672</v>
      </c>
      <c r="K9" s="6"/>
    </row>
    <row r="10" spans="1:11" ht="18.75" customHeight="1" x14ac:dyDescent="0.25">
      <c r="A10" s="10">
        <v>4</v>
      </c>
      <c r="B10" s="16" t="s">
        <v>17</v>
      </c>
      <c r="C10" s="9">
        <f t="shared" si="0"/>
        <v>64534.432142857135</v>
      </c>
      <c r="D10" s="9">
        <v>62491.57499999999</v>
      </c>
      <c r="E10" s="9">
        <v>2042.8571428571427</v>
      </c>
      <c r="F10" s="9">
        <v>3.1655305160738942</v>
      </c>
      <c r="G10" s="9"/>
      <c r="H10" s="9">
        <v>2</v>
      </c>
      <c r="I10" s="9">
        <v>51944.029999999992</v>
      </c>
      <c r="J10" s="9">
        <v>8657.3383333333313</v>
      </c>
    </row>
    <row r="11" spans="1:11" ht="18.75" customHeight="1" x14ac:dyDescent="0.25">
      <c r="A11" s="10">
        <v>5</v>
      </c>
      <c r="B11" s="16" t="s">
        <v>18</v>
      </c>
      <c r="C11" s="9">
        <f t="shared" si="0"/>
        <v>113476.15839285716</v>
      </c>
      <c r="D11" s="9">
        <v>110958.30125000002</v>
      </c>
      <c r="E11" s="9">
        <v>2517.8571428571427</v>
      </c>
      <c r="F11" s="9">
        <v>2.2188424233928163</v>
      </c>
      <c r="G11" s="9"/>
      <c r="H11" s="9">
        <v>3</v>
      </c>
      <c r="I11" s="9">
        <v>81521.406000000003</v>
      </c>
      <c r="J11" s="9">
        <v>9057.9339999999993</v>
      </c>
    </row>
    <row r="12" spans="1:11" ht="18.75" customHeight="1" x14ac:dyDescent="0.25">
      <c r="A12" s="10">
        <v>6</v>
      </c>
      <c r="B12" s="16" t="s">
        <v>19</v>
      </c>
      <c r="C12" s="9">
        <f t="shared" si="0"/>
        <v>129999.94982142857</v>
      </c>
      <c r="D12" s="9">
        <v>128528.52125000001</v>
      </c>
      <c r="E12" s="9">
        <v>1471.4285714285713</v>
      </c>
      <c r="F12" s="9">
        <v>1.1318685687569612</v>
      </c>
      <c r="G12" s="9"/>
      <c r="H12" s="9">
        <v>3</v>
      </c>
      <c r="I12" s="9">
        <v>84007.694000000003</v>
      </c>
      <c r="J12" s="9">
        <v>9334.188222222223</v>
      </c>
    </row>
    <row r="13" spans="1:11" ht="18.75" customHeight="1" x14ac:dyDescent="0.25">
      <c r="A13" s="10">
        <v>7</v>
      </c>
      <c r="B13" s="16" t="s">
        <v>20</v>
      </c>
      <c r="C13" s="9">
        <f t="shared" si="0"/>
        <v>87850.279821428558</v>
      </c>
      <c r="D13" s="9">
        <v>79916.351249999992</v>
      </c>
      <c r="E13" s="9">
        <v>7933.9285714285706</v>
      </c>
      <c r="F13" s="9">
        <v>9.0311932842510032</v>
      </c>
      <c r="G13" s="9"/>
      <c r="H13" s="9">
        <v>3</v>
      </c>
      <c r="I13" s="9">
        <v>66008.798999999999</v>
      </c>
      <c r="J13" s="9">
        <v>7334.3110000000006</v>
      </c>
    </row>
    <row r="14" spans="1:11" ht="18.75" customHeight="1" x14ac:dyDescent="0.25">
      <c r="A14" s="10">
        <v>8</v>
      </c>
      <c r="B14" s="16" t="s">
        <v>21</v>
      </c>
      <c r="C14" s="9">
        <f t="shared" si="0"/>
        <v>117583.38428571429</v>
      </c>
      <c r="D14" s="9">
        <v>115797.67</v>
      </c>
      <c r="E14" s="9">
        <v>1785.7142857142856</v>
      </c>
      <c r="F14" s="9">
        <v>1.518679102971898</v>
      </c>
      <c r="G14" s="9"/>
      <c r="H14" s="9">
        <v>3</v>
      </c>
      <c r="I14" s="9">
        <v>82433.269</v>
      </c>
      <c r="J14" s="9">
        <v>9159.2521111111109</v>
      </c>
    </row>
    <row r="15" spans="1:11" ht="18.75" customHeight="1" x14ac:dyDescent="0.25">
      <c r="A15" s="10">
        <v>9</v>
      </c>
      <c r="B15" s="16" t="s">
        <v>22</v>
      </c>
      <c r="C15" s="9">
        <f t="shared" si="0"/>
        <v>72557.15964285715</v>
      </c>
      <c r="D15" s="9">
        <v>62914.302500000005</v>
      </c>
      <c r="E15" s="9">
        <v>9642.8571428571413</v>
      </c>
      <c r="F15" s="9">
        <v>13.290014645448469</v>
      </c>
      <c r="G15" s="9"/>
      <c r="H15" s="9">
        <v>2</v>
      </c>
      <c r="I15" s="9">
        <v>52160.04</v>
      </c>
      <c r="J15" s="9">
        <v>8693.34</v>
      </c>
    </row>
    <row r="16" spans="1:11" ht="18.75" customHeight="1" x14ac:dyDescent="0.25">
      <c r="A16" s="10">
        <v>10</v>
      </c>
      <c r="B16" s="16" t="s">
        <v>23</v>
      </c>
      <c r="C16" s="9">
        <f t="shared" si="0"/>
        <v>118682.19410714286</v>
      </c>
      <c r="D16" s="9">
        <v>118325.05125</v>
      </c>
      <c r="E16" s="9">
        <v>357.14285714285711</v>
      </c>
      <c r="F16" s="9">
        <v>0.30092370623047199</v>
      </c>
      <c r="G16" s="9"/>
      <c r="H16" s="9">
        <v>2.6666666666666665</v>
      </c>
      <c r="I16" s="9">
        <v>98065.400999999998</v>
      </c>
      <c r="J16" s="9">
        <v>12258.175125000002</v>
      </c>
    </row>
    <row r="17" spans="1:10" ht="18.75" customHeight="1" x14ac:dyDescent="0.25">
      <c r="A17" s="10">
        <v>11</v>
      </c>
      <c r="B17" s="16" t="s">
        <v>24</v>
      </c>
      <c r="C17" s="9">
        <f t="shared" si="0"/>
        <v>114168.4357142857</v>
      </c>
      <c r="D17" s="9">
        <v>104104.15</v>
      </c>
      <c r="E17" s="9">
        <v>10064.285714285714</v>
      </c>
      <c r="F17" s="9">
        <v>8.815296146714557</v>
      </c>
      <c r="G17" s="9"/>
      <c r="H17" s="9">
        <v>3</v>
      </c>
      <c r="I17" s="9">
        <v>79081.60100000001</v>
      </c>
      <c r="J17" s="9">
        <v>8786.8445555555572</v>
      </c>
    </row>
    <row r="18" spans="1:10" ht="18.75" customHeight="1" x14ac:dyDescent="0.25">
      <c r="A18" s="10">
        <v>12</v>
      </c>
      <c r="B18" s="16" t="s">
        <v>25</v>
      </c>
      <c r="C18" s="9">
        <f t="shared" si="0"/>
        <v>80865.250321428568</v>
      </c>
      <c r="D18" s="9">
        <v>73156.321750000003</v>
      </c>
      <c r="E18" s="9">
        <v>7708.9285714285706</v>
      </c>
      <c r="F18" s="9">
        <v>9.5330547309092708</v>
      </c>
      <c r="G18" s="9"/>
      <c r="H18" s="9">
        <v>2</v>
      </c>
      <c r="I18" s="9">
        <v>60782.565000000002</v>
      </c>
      <c r="J18" s="9">
        <v>10130.4275</v>
      </c>
    </row>
    <row r="19" spans="1:10" ht="18.75" customHeight="1" x14ac:dyDescent="0.25">
      <c r="A19" s="10">
        <v>13</v>
      </c>
      <c r="B19" s="16" t="s">
        <v>26</v>
      </c>
      <c r="C19" s="9">
        <f t="shared" si="0"/>
        <v>87349.647642857148</v>
      </c>
      <c r="D19" s="9">
        <v>86981.790500000003</v>
      </c>
      <c r="E19" s="9">
        <v>367.85714285714283</v>
      </c>
      <c r="F19" s="9">
        <v>0.42113179936476097</v>
      </c>
      <c r="G19" s="9"/>
      <c r="H19" s="9">
        <v>3</v>
      </c>
      <c r="I19" s="9">
        <v>63482.493999999999</v>
      </c>
      <c r="J19" s="9">
        <v>7053.6104444444436</v>
      </c>
    </row>
    <row r="20" spans="1:10" ht="18.75" customHeight="1" x14ac:dyDescent="0.25">
      <c r="A20" s="10">
        <v>14</v>
      </c>
      <c r="B20" s="16" t="s">
        <v>27</v>
      </c>
      <c r="C20" s="9">
        <f t="shared" si="0"/>
        <v>105687.39571428573</v>
      </c>
      <c r="D20" s="9">
        <v>103948.11000000002</v>
      </c>
      <c r="E20" s="9">
        <v>1739.2857142857142</v>
      </c>
      <c r="F20" s="9">
        <v>1.6456888756987469</v>
      </c>
      <c r="G20" s="9"/>
      <c r="H20" s="9">
        <v>3</v>
      </c>
      <c r="I20" s="9">
        <v>86481.602000000014</v>
      </c>
      <c r="J20" s="9">
        <v>9609.0668888888904</v>
      </c>
    </row>
    <row r="21" spans="1:10" ht="18.75" customHeight="1" x14ac:dyDescent="0.25">
      <c r="A21" s="10">
        <v>15</v>
      </c>
      <c r="B21" s="16" t="s">
        <v>28</v>
      </c>
      <c r="C21" s="9">
        <f t="shared" si="0"/>
        <v>117532.9420357143</v>
      </c>
      <c r="D21" s="9">
        <v>116997.22775000001</v>
      </c>
      <c r="E21" s="9">
        <v>535.71428571428567</v>
      </c>
      <c r="F21" s="9">
        <v>0.45579926481505095</v>
      </c>
      <c r="G21" s="9"/>
      <c r="H21" s="9">
        <v>3</v>
      </c>
      <c r="I21" s="9">
        <v>84651.012999999992</v>
      </c>
      <c r="J21" s="9">
        <v>9405.6681111111102</v>
      </c>
    </row>
    <row r="22" spans="1:10" ht="18.75" customHeight="1" x14ac:dyDescent="0.25">
      <c r="A22" s="10">
        <v>16</v>
      </c>
      <c r="B22" s="16" t="s">
        <v>29</v>
      </c>
      <c r="C22" s="9">
        <f t="shared" si="0"/>
        <v>106591.3624642857</v>
      </c>
      <c r="D22" s="9">
        <v>105498.82674999999</v>
      </c>
      <c r="E22" s="9">
        <v>1092.5357142857142</v>
      </c>
      <c r="F22" s="9">
        <v>1.0249758414072032</v>
      </c>
      <c r="G22" s="9"/>
      <c r="H22" s="9">
        <v>3</v>
      </c>
      <c r="I22" s="9">
        <v>86015.203999999998</v>
      </c>
      <c r="J22" s="9">
        <v>9557.2448888888885</v>
      </c>
    </row>
    <row r="23" spans="1:10" ht="18.75" customHeight="1" x14ac:dyDescent="0.25">
      <c r="A23" s="10">
        <v>17</v>
      </c>
      <c r="B23" s="16" t="s">
        <v>30</v>
      </c>
      <c r="C23" s="9">
        <f t="shared" si="0"/>
        <v>111453.88757142858</v>
      </c>
      <c r="D23" s="9">
        <v>109457.45900000002</v>
      </c>
      <c r="E23" s="9">
        <v>1996.4285714285713</v>
      </c>
      <c r="F23" s="9">
        <v>1.7912596993524339</v>
      </c>
      <c r="G23" s="9"/>
      <c r="H23" s="9">
        <v>3</v>
      </c>
      <c r="I23" s="9">
        <v>80001.938999999998</v>
      </c>
      <c r="J23" s="9">
        <v>8889.1043333333328</v>
      </c>
    </row>
    <row r="24" spans="1:10" ht="18.75" customHeight="1" x14ac:dyDescent="0.25">
      <c r="A24" s="10">
        <v>18</v>
      </c>
      <c r="B24" s="16" t="s">
        <v>31</v>
      </c>
      <c r="C24" s="9">
        <f t="shared" si="0"/>
        <v>134858.04892857143</v>
      </c>
      <c r="D24" s="9">
        <v>122304.47750000001</v>
      </c>
      <c r="E24" s="9">
        <v>12553.571428571428</v>
      </c>
      <c r="F24" s="9">
        <v>9.3087298298528101</v>
      </c>
      <c r="G24" s="9"/>
      <c r="H24" s="9">
        <v>3</v>
      </c>
      <c r="I24" s="9">
        <v>100907.18000000001</v>
      </c>
      <c r="J24" s="9">
        <v>11211.908888888889</v>
      </c>
    </row>
    <row r="25" spans="1:10" ht="21.75" customHeight="1" x14ac:dyDescent="0.25">
      <c r="A25" s="11"/>
      <c r="B25" s="12" t="s">
        <v>33</v>
      </c>
      <c r="C25" s="13">
        <f>SUM(C8:C24)</f>
        <v>1790067.1993214288</v>
      </c>
      <c r="D25" s="13">
        <f t="shared" ref="D25:I25" si="1">SUM(D8:D24)</f>
        <v>1665367.5207500001</v>
      </c>
      <c r="E25" s="13">
        <f t="shared" si="1"/>
        <v>124699.67857142852</v>
      </c>
      <c r="F25" s="13">
        <f t="shared" ref="F25:F26" si="2">E25/C25*100</f>
        <v>6.9662009682485193</v>
      </c>
      <c r="G25" s="13">
        <f t="shared" ref="G25" si="3">SUM(G8:G24)</f>
        <v>0</v>
      </c>
      <c r="H25" s="13">
        <f t="shared" si="1"/>
        <v>47.666666666666671</v>
      </c>
      <c r="I25" s="13">
        <f t="shared" si="1"/>
        <v>1295544.8649999998</v>
      </c>
      <c r="J25" s="13">
        <v>6331.8</v>
      </c>
    </row>
    <row r="26" spans="1:10" ht="25.5" customHeight="1" x14ac:dyDescent="0.25">
      <c r="A26" s="11"/>
      <c r="B26" s="14" t="s">
        <v>32</v>
      </c>
      <c r="C26" s="13">
        <f>C7+C25</f>
        <v>3968782.4217142859</v>
      </c>
      <c r="D26" s="13">
        <f t="shared" ref="D26:I26" si="4">D7+D25</f>
        <v>3811110.9735000003</v>
      </c>
      <c r="E26" s="13">
        <f t="shared" si="4"/>
        <v>157671.44821428566</v>
      </c>
      <c r="F26" s="13">
        <f t="shared" si="2"/>
        <v>3.9727914372836959</v>
      </c>
      <c r="G26" s="13">
        <f t="shared" ref="G26" si="5">G7+G25</f>
        <v>1791</v>
      </c>
      <c r="H26" s="13">
        <f t="shared" si="4"/>
        <v>104.66666666666667</v>
      </c>
      <c r="I26" s="13">
        <f t="shared" si="4"/>
        <v>3028413.1649999996</v>
      </c>
      <c r="J26" s="13">
        <v>7319.4</v>
      </c>
    </row>
  </sheetData>
  <mergeCells count="12">
    <mergeCell ref="I1:J1"/>
    <mergeCell ref="A2:J2"/>
    <mergeCell ref="A4:A6"/>
    <mergeCell ref="B4:B6"/>
    <mergeCell ref="C4:E4"/>
    <mergeCell ref="F4:F6"/>
    <mergeCell ref="G4:G6"/>
    <mergeCell ref="H4:H6"/>
    <mergeCell ref="I4:I6"/>
    <mergeCell ref="J4:J6"/>
    <mergeCell ref="C5:C6"/>
    <mergeCell ref="D5:E5"/>
  </mergeCells>
  <printOptions horizontalCentered="1"/>
  <pageMargins left="0.31496062992125984" right="0.31496062992125984" top="0.70866141732283472" bottom="0.74803149606299213" header="0.59055118110236227" footer="0.31496062992125984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2-илова</vt:lpstr>
    </vt:vector>
  </TitlesOfParts>
  <Company>ngm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Talgat E. Nurmaxanov</cp:lastModifiedBy>
  <cp:lastPrinted>2026-04-27T09:56:05Z</cp:lastPrinted>
  <dcterms:created xsi:type="dcterms:W3CDTF">2003-09-08T10:43:31Z</dcterms:created>
  <dcterms:modified xsi:type="dcterms:W3CDTF">2026-04-27T09:56:12Z</dcterms:modified>
</cp:coreProperties>
</file>